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ELL\Downloads\LTP\"/>
    </mc:Choice>
  </mc:AlternateContent>
  <xr:revisionPtr revIDLastSave="0" documentId="13_ncr:1_{8598F4C4-1133-43D6-9C9A-6DF3EE33B31D}" xr6:coauthVersionLast="47" xr6:coauthVersionMax="47" xr10:uidLastSave="{00000000-0000-0000-0000-000000000000}"/>
  <bookViews>
    <workbookView xWindow="-108" yWindow="-108" windowWidth="23256" windowHeight="13176" xr2:uid="{00000000-000D-0000-FFFF-FFFF00000000}"/>
  </bookViews>
  <sheets>
    <sheet name="TIỀN KIỂM" sheetId="2" r:id="rId1"/>
    <sheet name="HẬU KIỂM" sheetId="1" r:id="rId2"/>
    <sheet name="Phân tích"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7" i="3" l="1"/>
  <c r="V17" i="3"/>
  <c r="S17" i="3"/>
  <c r="R17" i="3"/>
  <c r="O17" i="3"/>
  <c r="N17" i="3"/>
  <c r="AA37" i="2"/>
  <c r="Z37" i="2"/>
  <c r="Y37" i="2"/>
  <c r="AA36" i="2"/>
  <c r="Z36" i="2"/>
  <c r="Y36" i="2"/>
  <c r="AA35" i="2"/>
  <c r="Z35" i="2"/>
  <c r="Y35" i="2"/>
  <c r="AA34" i="2"/>
  <c r="Z34" i="2"/>
  <c r="Y34" i="2"/>
  <c r="AA33" i="2"/>
  <c r="Z33" i="2"/>
  <c r="Y33" i="2"/>
  <c r="AA32" i="2"/>
  <c r="Z32" i="2"/>
  <c r="Y32" i="2"/>
  <c r="AA31" i="2"/>
  <c r="Z31" i="2"/>
  <c r="Y31" i="2"/>
  <c r="AA30" i="2"/>
  <c r="Z30" i="2"/>
  <c r="Y30" i="2"/>
  <c r="AA29" i="2"/>
  <c r="Z29" i="2"/>
  <c r="Y29" i="2"/>
  <c r="AA28" i="2"/>
  <c r="Z28" i="2"/>
  <c r="Y28" i="2"/>
  <c r="AA27" i="2"/>
  <c r="Z27" i="2"/>
  <c r="Y27" i="2"/>
  <c r="AA26" i="2"/>
  <c r="Z26" i="2"/>
  <c r="Y26" i="2"/>
  <c r="AA25" i="2"/>
  <c r="Z25" i="2"/>
  <c r="Y25" i="2"/>
  <c r="AA24" i="2"/>
  <c r="Z24" i="2"/>
  <c r="Y24" i="2"/>
  <c r="AA23" i="2"/>
  <c r="Z23" i="2"/>
  <c r="Y23" i="2"/>
  <c r="AA22" i="2"/>
  <c r="Z22" i="2"/>
  <c r="Y22" i="2"/>
  <c r="AA21" i="2"/>
  <c r="Z21" i="2"/>
  <c r="Y21" i="2"/>
  <c r="AA20" i="2"/>
  <c r="Z20" i="2"/>
  <c r="Y20" i="2"/>
  <c r="AA19" i="2"/>
  <c r="Z19" i="2"/>
  <c r="Y19" i="2"/>
  <c r="AA18" i="2"/>
  <c r="Z18" i="2"/>
  <c r="Y18" i="2"/>
  <c r="AA17" i="2"/>
  <c r="Z17" i="2"/>
  <c r="Y17" i="2"/>
  <c r="AA16" i="2"/>
  <c r="Z16" i="2"/>
  <c r="Y16" i="2"/>
  <c r="AA15" i="2"/>
  <c r="Z15" i="2"/>
  <c r="Y15" i="2"/>
  <c r="AA14" i="2"/>
  <c r="Z14" i="2"/>
  <c r="Y14" i="2"/>
  <c r="AA13" i="2"/>
  <c r="Z13" i="2"/>
  <c r="Y13" i="2"/>
  <c r="AA12" i="2"/>
  <c r="Z12" i="2"/>
  <c r="Y12" i="2"/>
  <c r="AA11" i="2"/>
  <c r="Z11" i="2"/>
  <c r="Y11" i="2"/>
  <c r="AA10" i="2"/>
  <c r="Z10" i="2"/>
  <c r="Y10" i="2"/>
  <c r="AA9" i="2"/>
  <c r="Z9" i="2"/>
  <c r="Y9" i="2"/>
  <c r="AA8" i="2"/>
  <c r="Z8" i="2"/>
  <c r="Y8" i="2"/>
  <c r="AA7" i="2"/>
  <c r="Z7" i="2"/>
  <c r="Y7" i="2"/>
  <c r="AA6" i="2"/>
  <c r="Z6" i="2"/>
  <c r="Y6" i="2"/>
  <c r="AA5" i="2"/>
  <c r="Z5" i="2"/>
  <c r="Y5" i="2"/>
  <c r="AA4" i="2"/>
  <c r="Z4" i="2"/>
  <c r="Y4" i="2"/>
  <c r="AA3" i="2"/>
  <c r="Z3" i="2"/>
  <c r="Y3" i="2"/>
  <c r="AA2" i="2"/>
  <c r="Z2" i="2"/>
  <c r="Y2" i="2"/>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alcChain>
</file>

<file path=xl/sharedStrings.xml><?xml version="1.0" encoding="utf-8"?>
<sst xmlns="http://schemas.openxmlformats.org/spreadsheetml/2006/main" count="277" uniqueCount="176">
  <si>
    <t>Dấu thời gian</t>
  </si>
  <si>
    <t xml:space="preserve">Họ và tên </t>
  </si>
  <si>
    <t>1. Phát triển bền vững là sự phát triển đáp ứng nhu cầu hiện tại mà không làm tổn hại đến khả năng đáp ứng nhu cầu của thế hệ tương lai.</t>
  </si>
  <si>
    <t>2. Mục tiêu Phát triển Bền vững số 3 (SDG 3) hướng đến đảm bảo sức khỏe tốt và cuộc sống hạnh phúc cho mọi người ở mọi lứa tuổi.</t>
  </si>
  <si>
    <t>3. Thanh thiếu niên (13-18 tuổi) cần ngủ từ 8-10 giờ mỗi đêm để phát triển thể chất và tinh thần tốt nhất.</t>
  </si>
  <si>
    <t>4. Ánh sáng xanh từ màn hình điện thoại, máy tính có thể ức chế hormone melatonin, gây khó ngủ và giảm chất lượng giấc ngủ.</t>
  </si>
  <si>
    <t>5. Việc sử dụng màn hình thiết bị điện tử trước khi ngủ (xem phim, chơi game, lướt mạng) có thể làm giảm thời gian ngủ và ảnh hưởng đến kết quả học tập.</t>
  </si>
  <si>
    <t>6. Ngủ không đủ giấc kéo dài có thể gây ảnh hưởng tiêu cực đến trí nhớ, khả năng tập trung và sức khỏe tâm lý.</t>
  </si>
  <si>
    <t>7. Để đảm bảo giấc ngủ khỏe mạnh, chúng ta cần có những quy định rõ ràng về thời gian sử dụng thiết bị điện tử trong gia đình và nhà trường.</t>
  </si>
  <si>
    <t>8. Các công ty sản xuất điện thoại và ứng dụng có trách nhiệm cảnh báo người dùng về tác hại của việc sử dụng màn hình quá nhiều trước khi ngủ.</t>
  </si>
  <si>
    <t>9. Giấc ngủ tốt không chỉ quan trọng cho cá nhân mà còn góp phần xây dựng một cộng đồng khỏe mạnh và phát triển bền vững.</t>
  </si>
  <si>
    <t>10. Em cho rằng việc sử dụng thiết bị điện tử (điện thoại, máy tính bảng) trước khi ngủ là một thói quen khó bỏ nhưng cần thay đổi.</t>
  </si>
  <si>
    <t>11. Em sẵn sàng tắt các thiết bị điện tử ít nhất 30 phút trước khi đi ngủ để cải thiện sức khỏe của mình.</t>
  </si>
  <si>
    <t>12. Em đã từng hoặc sẽ nhắc nhở bạn bè, người thân về tác hại của việc dùng điện thoại quá khuya.</t>
  </si>
  <si>
    <t>1. Em hứng thú với chủ đề dự án "Màn hình và Giấc ngủ" có liên quan đến phát triển bền vững (SDG 3).</t>
  </si>
  <si>
    <t>2. Em hiểu và thực hiện tốt các nhiệm vụ trong dự án (khảo sát, nhập liệu, tính toán).</t>
  </si>
  <si>
    <t>3. Em hiểu được ý nghĩa của các số đặc trưng thống kê (số trung bình, trung vị, độ lệch chuẩn) trong việc phân tích dữ liệu thực tế về giấc ngủ.</t>
  </si>
  <si>
    <t>4. Em hứng thú với việc trực tiếp thu thập dữ liệu từ bạn bè và sử dụng Excel để xử lý, tính toán, từ đó đưa ra kết luận về thói quen sử dụng màn hình.</t>
  </si>
  <si>
    <t>5. Em hứng thú với việc tìm hiểu mối liên hệ giữa thời gian dùng màn hình trước khi ngủ và chất lượng giấc ngủ của học sinh trong lớp.</t>
  </si>
  <si>
    <t>6. Em thích được thảo luận nhóm, phân công nhiệm vụ và cùng nhau thiết kế poster tuyên truyền về giấc ngủ lành mạnh.</t>
  </si>
  <si>
    <t>7. Em cảm thấy dễ dàng tiếp thu kiến thức thống kê và nâng cao năng lực giải quyết vấn đề thực tiễn qua dự án này.</t>
  </si>
  <si>
    <t>8. Em hứng thú học với dự án này vì nó giúp em hiểu rõ hơn về sức khỏe của chính bản thân mình.</t>
  </si>
  <si>
    <t>9. Em cảm thấy hiểu biết của mình về phát triển bền vững (đặc biệt là mục tiêu sức khỏe) được nâng cao sau dự án.</t>
  </si>
  <si>
    <t>10. Em sẵn sàng tham gia những dự án học tập có chủ đề tương tự (gắn kết toán học với thực tiễn và phát triển bền vững).</t>
  </si>
  <si>
    <r>
      <t xml:space="preserve">12. Em hãy chia sẻ </t>
    </r>
    <r>
      <rPr>
        <b/>
        <sz val="10"/>
        <color theme="1"/>
        <rFont val="Arial"/>
        <family val="2"/>
        <charset val="163"/>
      </rPr>
      <t>hai khó khăn</t>
    </r>
    <r>
      <rPr>
        <sz val="10"/>
        <color theme="1"/>
        <rFont val="Arial"/>
        <family val="2"/>
        <charset val="163"/>
      </rPr>
      <t xml:space="preserve"> em gặp phải trong quá trình học tập và thực hiện dự án này? </t>
    </r>
  </si>
  <si>
    <r>
      <t xml:space="preserve">13. Nếu được </t>
    </r>
    <r>
      <rPr>
        <b/>
        <sz val="10"/>
        <color theme="1"/>
        <rFont val="Arial"/>
        <family val="2"/>
        <charset val="163"/>
      </rPr>
      <t>thay đổi một điều</t>
    </r>
    <r>
      <rPr>
        <sz val="10"/>
        <color theme="1"/>
        <rFont val="Arial"/>
        <family val="2"/>
        <charset val="163"/>
      </rPr>
      <t xml:space="preserve"> trong dự án để lần sau tốt hơn, em sẽ thay đổi điều gì? </t>
    </r>
  </si>
  <si>
    <t xml:space="preserve">Phạm Thanh Vân </t>
  </si>
  <si>
    <t xml:space="preserve">E nhận ra việc sử dụng màn hình trước khi ngủ ảnh hưởng đến giấc ngủ khá nhiều, cần hạn chế dùng để cải thiện giấc ngủ, nên rèn luyện thói quen hạn chế dùng nếu ko cần thiết </t>
  </si>
  <si>
    <t>Khó khăn e gặp phải là việc thay đổi thói quen xấu này, và cần quản lý thời gian sử dụng để giấc ngủ đc hợp lý</t>
  </si>
  <si>
    <t>Em sẽ thay đổi thời gian dùng điện thoại</t>
  </si>
  <si>
    <t>Sử Thị Kim Nhã</t>
  </si>
  <si>
    <t>1 Hiểu được ý nghĩa của việc bảo vệ sức khoẻ của bản thân
2 Bản thân biết xác định được mình đang cần từ bỏ thói quen xấu là sử dụng điện thoại quá nhiều 
3 lan toả và nhắc nhở được về tác hại của việc sử dụng màn hình quá nhiều cho các bạn trong lớp</t>
  </si>
  <si>
    <t>1 xử lý số liệu
2 thu thập thông tin ( thông tin bất thường)</t>
  </si>
  <si>
    <t>Trần Ngọc Hoài An</t>
  </si>
  <si>
    <t>Hiểu rõ về sinh hoạt của bản thân,hạn chế sử dụng điện thoại trước khi ngủ,học cách quản lí thời gian ngủ và xem màn hình điện thoại</t>
  </si>
  <si>
    <t>Quá trình thu thập dữ liệu,điều chỉnh slide nhiều lần</t>
  </si>
  <si>
    <t>Nhận xét và kết luận chặt chẽ và có tính logic hơn</t>
  </si>
  <si>
    <t>Nguyễn Ngọc Lan Thanh</t>
  </si>
  <si>
    <t>1. Những ý nghĩa sâu sắc của việc thay đổi thói quen sử dụng màn hình để cải thiện giấc ngủ được nhóm em lan tỏa.
2. Nhóm thống nhất các ý kiến, quan điểm để loa tỏa đến lớp 1 cách hiệu quả nhất.
3. Luôn giúp đỡ nhau trong việc tìm kiếm dữ liệu</t>
  </si>
  <si>
    <t>1. Khó đảm bảo rằng dữ liệu sẽ sát với thực tế
2. Gặp rào cản trong việc chia sẻ cách để thay đổi thói quen đến lớp</t>
  </si>
  <si>
    <t>Em sẽ thay đổi cách truyền đạt để các bạn khác có thể dễ dàng tiếp cận với bài nhóm e</t>
  </si>
  <si>
    <t xml:space="preserve">Phạm Quỳnh Anh </t>
  </si>
  <si>
    <t>Em sẽ làm dự án đầy đủ hơn, thêm các công thức tính vào bài thuyết trình để dự án thêm phần chính xác và đầy đủ.</t>
  </si>
  <si>
    <t>phạm thị như quỳnh</t>
  </si>
  <si>
    <t xml:space="preserve">ba điều em tâm đắc nhất trong dự án này là có thể biết cách giữ sức khoẻ mình thật tốt không thức khuya và những công thức tính toán </t>
  </si>
  <si>
    <t>là bị mắc phải nhiều lỗi trong phần tính toán và phần diễn giải</t>
  </si>
  <si>
    <t>em sẽ tính toán thật kỹ lại</t>
  </si>
  <si>
    <t>Quách Châu Triều Vy</t>
  </si>
  <si>
    <t xml:space="preserve">- Thấy được em loạn giờ nặng mức nào thông qua số liệu so sánh với các bạn đồng trang lứa
- Em đã trải nghiệm và nhận thức sâu sắc đang và trải qua những tác hại nêu trên sau dự án em tìm thấy cũng có những người như mình kết nối và đưa ra giải pháp 
- Em biết cách tính toán, thuật ngữ toán học cũng như mối liên hệ của toán đối với đời sống </t>
  </si>
  <si>
    <t>- Liên hệ đến các bạn phỏng vấn và thu thập số liệu 
- Thống nhất và phân công công việc kịp thời gian hoàn thành dự án trong cuối tuần để không ảnh hướng đến công việc của các bạn trong tuần</t>
  </si>
  <si>
    <t xml:space="preserve">Bản thân em là người thuyết trình em cảm thấy mình chưa tốt trong việc đọc các kí hiệu thuật ngữ toán học và trình bày ra suy nghĩ của mình qua ngôn ngữ để các bạn nắm và tiếp thu được khoản này vẫn còn vấp,nói nhanh em hi vọng lần sau bản thân em sẽ làm tốt hơn tìm hiểu và đọc trước nội dung </t>
  </si>
  <si>
    <t xml:space="preserve">Võ Trần Văn Dương </t>
  </si>
  <si>
    <t>Có thể cải thiện sức khỏe bả thân
Có thể giúp tuyên truyền cho mọi người biết tầm quan trọng của giất ngủ
Giúp bản thân biết phân chia thời gian hợp lý</t>
  </si>
  <si>
    <t>Khó khăn lúc thực hiện dự án của em là điều chình thời gian lướt mạng xã hội và điều chỉnh thời gian dùng điện thoại</t>
  </si>
  <si>
    <t>Theo em là thay đổi bản thân</t>
  </si>
  <si>
    <t xml:space="preserve">Lê Ngọc Phương Thanh </t>
  </si>
  <si>
    <t>Kiến thức: Hiểu rõ tác hại của ánh sáng xanh đối với giấc ngủ qua số liệu thực tế.
Kỹ năng: Biết cách thực hiện khảo sát và làm việc nhóm hiệu quả.
Thay đổi: Tự xây dựng được thói quen tốt cho bản thân (không dùng điện thoại trước khi ngủ).</t>
  </si>
  <si>
    <t>Thói quen: Khó khăn trong việc duy trì kỷ luật, không sử dụng thiết bị điện tử vào ban đêm.
Số liệu: Gặp rắc rối khi thu thập và phân tích dữ liệu thực tế từ các bạn cùng lớp</t>
  </si>
  <si>
    <t>Truyền thông: Em muốn làm thêm các video ngắn để lan tỏa thông điệp của dự án đến nhiều người hơn thay vì chỉ làm khảo sát.</t>
  </si>
  <si>
    <t>Phạm Huỳnh Thiện</t>
  </si>
  <si>
    <t>Ba điều em tâm đắc nhất là việc nhận ra tác động trực tiếp của ánh sáng xanh đến melatonine, sự khác biệt về chất lượng giấc ngủ khi sử dụng màn hình trước khi ngủ, và tầm quan trọng của việc thiết lập thói quen không sử dụng  màn hình trước khi ngủ</t>
  </si>
  <si>
    <t xml:space="preserve">Hai khó khăn em gặp phải trong học tập và thực hiện dự án là thay đổi thói quen cá nhân: Khó khăn đầu tiên chính là việc tự kỷ luật với bản thân. Việc phải rời xa điện thoại 1 tiếng trước khi ngủ để trải nghiệm thực tế cho dự án là một thử thách lớn, vì mình đã quen với việc lướt mạng xã hội hoặc xem phim để giải trí cuối ngày. Khó khăn thứ hai: Thu thập và đối chiếu dữ liệu thực tế: Khi khảo sát hoặc tìm hiểu về giấc ngủ của người khác, việc xác định chính xác "chất lượng giấc ngủ" khá mơ hồ.
</t>
  </si>
  <si>
    <t xml:space="preserve">Nếu được thay đổi một điều để dự án lần sau tốt hơn, em sẽ chọn áp dụng các công cụ đo lường khách quan thay vì chỉ dựa vào cảm tính hoặc khảo sát tự thuật.Như các app theo dõi thời gian hoạt động của màn hình trước khi ngủ hay các thiết bị tholng minh theo dõi sức khoẻ xủa mọi người để có dữ liệu tin cậy, chính xác hơn
</t>
  </si>
  <si>
    <t>Lê Xuân Quế</t>
  </si>
  <si>
    <t xml:space="preserve">Em cảm thấy mình học được nhiều điều khi tham gia thực hiện dự án,ba điều mà em tâm đắc nhất trong quá trình là 1. cách em học được việc hợp tác và làm việc cùng các bạn,2. em nhận biết được nhiều thông tin hơn về tác hại của thức khuya và màn hình điện thoại,3.em biết cách áp dụng những công thức toán học vào số liệu đời thật và giải quyết </t>
  </si>
  <si>
    <t>em cảm thấy quá trình tham gia chỉ có 1 điều khó khắn duy nhất là,em khó liên lạc được với một số bạn trong nhóm</t>
  </si>
  <si>
    <t>em sẽ tìm những người bạn  nhóm sao cho cùng một quan điểm để tránh gây tranh cãi</t>
  </si>
  <si>
    <t>Lê Trần Gia Huy</t>
  </si>
  <si>
    <t>Biết tác hại của việc sử dụng màn hình quá nhiều , lập được thời gian biểu phù hợp , được thảo luận nhóm với các bạn trong nhóm</t>
  </si>
  <si>
    <t>Sợ không hoàn thành tốt nhiệm vụ 
Đưa thông tin chưa chính xác</t>
  </si>
  <si>
    <t>Giảm việc sử dụng màn hình trước khi ngủ</t>
  </si>
  <si>
    <t>Bùi Lê Hải Minh</t>
  </si>
  <si>
    <t>điều 1: cho thấy lợi ích khi ngủ đủ
điều2: cho thấy tác hại của việc sử dụng điện thoại trước thời gian đi ngủ
điều3: giúp em cải thiện được chất lượng cuộc sống hơn</t>
  </si>
  <si>
    <t>không có khó khăn</t>
  </si>
  <si>
    <t>không cần thay đổi gì</t>
  </si>
  <si>
    <t>Ung Thị Bích Ngọc</t>
  </si>
  <si>
    <t>-Vận dụng kiến thức vào thực tế
-Nhận thức được tác động tiêu cực của màn hình đến giấc ngủ
-Thấy được mối liên hệ giữa thời gian sử dụng màn hình và thời gian ngủ</t>
  </si>
  <si>
    <t>-Xử lí dữ liệu
-Phân tích, nhận xét từ biểu đồ và dữ liệu</t>
  </si>
  <si>
    <t>Em sẽ phân tích chuyên sâu hơn về các kết quả thống kê để tăng độ chính xác cho dự án</t>
  </si>
  <si>
    <t>Lưu Gia Linh</t>
  </si>
  <si>
    <t>Sau khi thực hiện dự án này , em nhận ra được tầm quan trọng của việc ngủ đủ và cách sử dụng màn hình hiệu quả mà không ảnh hưởng đến giấc ngủ của bản thân</t>
  </si>
  <si>
    <t xml:space="preserve">Em hơi thiếu kinh nghiệm trong việc thực hiện dự án </t>
  </si>
  <si>
    <t xml:space="preserve">Có lẽ đây là lần đầu làm dự án nên em hơi thiếu kinh nghiệm trong việc thực hiện nó nên em nghĩ nếu có lần sau em sẽ làm tốt hơn </t>
  </si>
  <si>
    <t>Hà Lê Anh Đức</t>
  </si>
  <si>
    <t xml:space="preserve">Lê Nguyễn Nhã Uyên </t>
  </si>
  <si>
    <t xml:space="preserve">Hiểu bản thân 
Giúp sức khoẻ tốt </t>
  </si>
  <si>
    <t>Em chưa hiểu lắm về thống kê các chữ số</t>
  </si>
  <si>
    <t>Nguyễn Anh Thư</t>
  </si>
  <si>
    <t>Em không biết, em không biết, em không biết</t>
  </si>
  <si>
    <t>Em không biết, em không biết</t>
  </si>
  <si>
    <t>Đặt câu hỏi dễ hiểu hơn 1 chút:((</t>
  </si>
  <si>
    <t>Trần Minh Thuận</t>
  </si>
  <si>
    <t>hơi khó khăn trong việc thu thập dữ liệu của các bạn</t>
  </si>
  <si>
    <t xml:space="preserve">không có </t>
  </si>
  <si>
    <t>Trần Hồ Diệu Ngân</t>
  </si>
  <si>
    <t>dạ không biết</t>
  </si>
  <si>
    <t>không biết ạ</t>
  </si>
  <si>
    <t>dạ cũng không</t>
  </si>
  <si>
    <t>Phạm Thái Thanh Thảo</t>
  </si>
  <si>
    <t>Nhận ra tác động rõ rệt của màn hình đến giấc ngủ
Hình thành thói quen sử dụng thiết bị hợp lý hơn
Nâng cao ý thức chăm sóc sức khỏe bản thân</t>
  </si>
  <si>
    <t>Khó khăn trong việc kiểm soát thời gian sử dụng thiết bị
Khó khăn trong việc thu thập và theo dõi dữ liệu</t>
  </si>
  <si>
    <t xml:space="preserve">em sẽ lập bảng theo dõi rõ ràng hơn hoặc sử dụng ứng dụng để ghi lại thời gian sử dụng màn hình và thời gian ngủ mỗi ngày một cách chính xác, liên tục. </t>
  </si>
  <si>
    <t xml:space="preserve">trần đào mỹ tiên </t>
  </si>
  <si>
    <t>em không biết ạ</t>
  </si>
  <si>
    <t>em chưa xác định được</t>
  </si>
  <si>
    <t xml:space="preserve">Triệu Quang Lâm </t>
  </si>
  <si>
    <t>1. Thú vị 2.hữu ích 3. Vui nhôn</t>
  </si>
  <si>
    <t>1. Cách thức phân công chưa hiệu quả lắm
2. Còn thiếu xót nội dung</t>
  </si>
  <si>
    <t xml:space="preserve">Cách thức tìm kiếm tài liệu và hoang thiện hơn với công việc </t>
  </si>
  <si>
    <t>Lê Ng Quỳnh Như</t>
  </si>
  <si>
    <t>3 điều mà em tâm đắc nhất là :
1: Em bắt đầu nhận ra tác động rõ rệt của màn hình đến giấc ngủ.
+ Qua việc quá trình tìm hiểu, em thấy việc sử dụng điện thoại hoặc thiết bị điện tử trước khi ngủ khiến em khó ngủ hơn, ngủ không sâu và dễ mệt vào ngày hôm sau. Tinh thần lúc nào cũng trong trạng thái thiếu sức sống và không muốn làm việc gì.
2: Em bắt đầu tạo thói quen hình thành thói quen sử dụng thiết bị hợp lý hơn.
+ Để mà nói thì sau dự án trên, em bắt đầu hạn chế dùng điện thoại trước khi ngủ, thay vào đó là đọc sách hoặc thư giãn nhẹ, giúp cải thiện chất lượng giấc ngủ.
3: Dần Hiểu được tầm quan trọng của giấc ngủ đối với sức khỏe.
+ Em cũng nhận ra giấc ngủ không chỉ giúp cơ thể nghỉ ngơi mà còn ảnh hưởng đến tinh thần, khả năng tập trung và học tập hằng ngày.</t>
  </si>
  <si>
    <t>1. Bản thân khó kiểm soát thói quen dùng điện thoại trước khi ngủ.
2. Khó sắp xếp thời gian để vừa học vừa thực hiện dự án.</t>
  </si>
  <si>
    <t>Em sẽ thiết kế dự án theo hướng có theo dõi thói quen hằng ngày giống như việc ghi nhật ký giấc ngủ và thời gian dùng màn hình để thấy rõ sự thay đổi của bản thân hơn.</t>
  </si>
  <si>
    <t>Trần gia bảo</t>
  </si>
  <si>
    <t>Phạm Thiên Thư</t>
  </si>
  <si>
    <t xml:space="preserve">
1. ​Hiểu rõ tác hại: Nhận diện ánh sáng xanh là "kẻ thù" ức chế melatonin, gây khó ngủ và giảm chất lượng giấc ngủ sâu.
​2. Thay đổi nhỏ, hiệu quả lớn: Thay vì cấm đoán, chỉ cần bật chế độ Night Shift hoặc để điện thoại xa tầm tay là đã cải thiện rõ rệt.
3. ​Tư duy tích cực: Coi giấc ngủ là khoản đầu tư cho trí não, giúp tăng khả năng tập trung và ghi nhớ thay vì là thời gian lãng phí</t>
  </si>
  <si>
    <t>1. ​Khó khăn trong việc thay đổi thói quen: Việc cưỡng lại sức hấp dẫn của các thông báo, mạng xã hội hay các bộ phim hấp dẫn trước khi đi ngủ là một thử thách lớn về tính kỷ luật cá nhân.
2. ​Thu thập và đối chiếu dữ liệu thực tế: Rất khó để đo lường chính xác chất lượng giấc ngủ và thời gian sử dụng màn hình của các đối tượng khảo sát nếu không có các thiết bị hỗ trợ chuyên dụng, dẫn đến sai số trong đánh giá.</t>
  </si>
  <si>
    <t>Thay vì chỉ dựa vào khảo sát tự thuật (dễ dẫn đến sai số), em sẽ ứng dụng các ứng dụng quản lý thời gian màn hình (Screen Time) và các thiết bị đeo thông minh để thu thập dữ liệu giấc ngủ chính xác. Việc có biểu đồ so sánh thực tế giữa "thời gian lướt điện thoại" và "chất lượng giấc ngủ sâu" sẽ giúp các kết luận của dự án có sức thuyết phục và tác động mạnh mẽ hơn đến người xem.</t>
  </si>
  <si>
    <t>Trần Bảo Ngọc</t>
  </si>
  <si>
    <t>Về việc tham khảo giờ giấc ngủ của mọi người, tính toán và tạo poster</t>
  </si>
  <si>
    <t>mọi người trong nhóm k hợp tác , chưa thông minh trong việc sử dụng công nghệ AI</t>
  </si>
  <si>
    <t>Em sẽ chia công việc ra rõ ràng để mọi người cùng hiểu và làm cùng nhau</t>
  </si>
  <si>
    <t>Nguyễn Hoàng Minh Vũ</t>
  </si>
  <si>
    <t xml:space="preserve">Khó khăn
Khó thực hiện
Hay
</t>
  </si>
  <si>
    <t>Khó bỏ thói quen đc
Dễ bỏ</t>
  </si>
  <si>
    <t>Không điều gì</t>
  </si>
  <si>
    <t xml:space="preserve">Trần Phạm Hoàng Anh </t>
  </si>
  <si>
    <t>điều 1 : em giảm thời lượng sử dụng điện thoại trước khi ngủ
điều 2 : dù có deadline trễ nhưng em sẽ cố ngủ đủ 8 tiếng
điều 3 : cân bằng thời gian ngủ và dùng điện thoại</t>
  </si>
  <si>
    <t>thói quen lâu khó bỏ và thời gian ngủ sinh học chưa vào chế độ</t>
  </si>
  <si>
    <t>em hoàn toàn đồng tình với dự án của thầy nên không có ạ</t>
  </si>
  <si>
    <t>Nguyễn Ngọc Bảo Trân</t>
  </si>
  <si>
    <t>1. Tuyên truyền việc hạn chế sử dụng các thiết bị di động, điện tử
2. Là động lực, tinh thần vững vàng để từ bỏ thói quen xem điện thoại trước khi ngủ
3. Hỗ trợ, giúp đỡ nhiều trong việc xem điện thoại có mức độ vừa phải</t>
  </si>
  <si>
    <t>Bản thân em thấy dự án này không có gì khó khăn</t>
  </si>
  <si>
    <t>Nếu được, em sẽ thay đổi thói quen sinh hoạt và hạn chế sử dụng điện thoại, các thiết bị điện tử hơn trong cuộc sống</t>
  </si>
  <si>
    <t>Lê Xuân Quỳnh Anh</t>
  </si>
  <si>
    <t>1. Em thường không thích làm việc nhóm nhưng được tâm sự với bạn bè về vấn đề này thì cũng vui.
2. Em được luyện kỹ năng thuyết trình.
3. Em thích được coi dử liệu được cho để tính toán.</t>
  </si>
  <si>
    <t>1. Theo em là không có đủ thời gian để chuẩn bị.
2. Khi thuyết trình thì em bị rung.</t>
  </si>
  <si>
    <t>Em không có ý kiến.</t>
  </si>
  <si>
    <t>1. Em thường không thích làm việc nhóm nhưng khi được thảo luận với bạn bè về chủ đề này thì cũng hay.
2. Em thích được coi những dữ liệu đưa ra để tính toán.
3. Em được rèn luyện kỹ năng thuyết trinh</t>
  </si>
  <si>
    <t>1. Theo em, không có đủ thời gian để chuẩn bị dự án.
2. Em bị rung khi lên thuyết trình.</t>
  </si>
  <si>
    <t>Mạnh Hùng Đoàn</t>
  </si>
  <si>
    <t>từ dự án trên em đã có điều tâm đắc nhất:
1. Hiểu rõ về sự ảnh hưởng của ánh sáng xanh đến sức khỏe
2. Rút ra được vài cách để có giấc ngủ sâu và không bị ảnh hưởng 
3. Nguyên nhân ảnh hưởng đến giấc ngủ</t>
  </si>
  <si>
    <t>Hai khó khăn em gặp phải trong quá trình học tập và thực hiện dự án này
1. Vấn đề hỏi và ghi chép dữ liệu 
2. Sự chêch lệch thời gian cao</t>
  </si>
  <si>
    <t>Em muốn thay đổi cách phỏng vấn để có thể đẩy nhanh quá trình thu thập dữ liệu</t>
  </si>
  <si>
    <t>Chu Khương Ngọc</t>
  </si>
  <si>
    <t>Nhận ra tác động rõ ràng của màn hình đến giấc ngủ, hình thành thói quen sử dụng thiết bị hợp lý, hiểu tầm quan trọng của giấc ngủ đối với sức khỏe.</t>
  </si>
  <si>
    <t>Khó thay đổi thói quen sử dụng thiết bị trước khi ngủ, khó thu thập và duy trì dữ liệu theo dõi giấc ngủ</t>
  </si>
  <si>
    <t>Em sẽ cải thiện cách theo dõi và quản lý thời gian sử dụng thiết bị</t>
  </si>
  <si>
    <t>Từ Gia Hân</t>
  </si>
  <si>
    <t>1. Hiểu được sự quan trọng của giấc ngủ
2. Rút được kinh nghiệm cải thiện giấc ngủ 
3. Không sử sụng điện thoại nhiều trước khi ngủ</t>
  </si>
  <si>
    <t>1. Ngủ không đủ giờ
2. Giảm trí nhớ độ tập trung</t>
  </si>
  <si>
    <t>Ngủ đủ giấc hơn</t>
  </si>
  <si>
    <t xml:space="preserve">Đào Nguyễn Thành Bảo </t>
  </si>
  <si>
    <t>tắt điện thoại trước khi ngủ 30p 
bỏ điện thoại ra xa khỏi bản thân khi ngủ
sử dụng điện thoại ít lại</t>
  </si>
  <si>
    <t xml:space="preserve">sự lười biếng và không có định hướng rõ ràng </t>
  </si>
  <si>
    <t xml:space="preserve">thay đổi giấc ngủ </t>
  </si>
  <si>
    <t>Mean</t>
  </si>
  <si>
    <t>MTkt</t>
  </si>
  <si>
    <t>MTtd</t>
  </si>
  <si>
    <t>MThv</t>
  </si>
  <si>
    <t xml:space="preserve">Tiền </t>
  </si>
  <si>
    <t>Hậu</t>
  </si>
  <si>
    <t>t-Test: Paired Two Sample for Means</t>
  </si>
  <si>
    <t>Variance</t>
  </si>
  <si>
    <t>Observations</t>
  </si>
  <si>
    <t>Pearson Correlation</t>
  </si>
  <si>
    <t>Hypothesized Mean Difference</t>
  </si>
  <si>
    <t>df</t>
  </si>
  <si>
    <t>t Stat</t>
  </si>
  <si>
    <t>P(T&lt;=t) one-tail</t>
  </si>
  <si>
    <t>t Critical one-tail</t>
  </si>
  <si>
    <t>P(T&lt;=t) two-tail</t>
  </si>
  <si>
    <t>t Critical two-tail</t>
  </si>
  <si>
    <r>
      <t xml:space="preserve">11. Em hãy chia sẻ </t>
    </r>
    <r>
      <rPr>
        <b/>
        <sz val="10"/>
        <color theme="2"/>
        <rFont val="Arial"/>
        <family val="2"/>
        <charset val="163"/>
      </rPr>
      <t>ba điều</t>
    </r>
    <r>
      <rPr>
        <sz val="10"/>
        <color theme="2"/>
        <rFont val="Arial"/>
        <family val="2"/>
        <charset val="163"/>
      </rPr>
      <t xml:space="preserve"> mà em </t>
    </r>
    <r>
      <rPr>
        <b/>
        <sz val="10"/>
        <color theme="2"/>
        <rFont val="Arial"/>
        <family val="2"/>
        <charset val="163"/>
      </rPr>
      <t>tâm đắc nhất</t>
    </r>
    <r>
      <rPr>
        <sz val="10"/>
        <color theme="2"/>
        <rFont val="Arial"/>
        <family val="2"/>
        <charset val="163"/>
      </rPr>
      <t xml:space="preserve"> trong quá trình thực hiện dự án "Màn hình và Giấc ngủ"? Em hãy chia sẻ </t>
    </r>
    <r>
      <rPr>
        <b/>
        <sz val="10"/>
        <color theme="2"/>
        <rFont val="Arial"/>
        <family val="2"/>
        <charset val="163"/>
      </rPr>
      <t>ba điều</t>
    </r>
    <r>
      <rPr>
        <sz val="10"/>
        <color theme="2"/>
        <rFont val="Arial"/>
        <family val="2"/>
        <charset val="163"/>
      </rPr>
      <t xml:space="preserve"> mà em </t>
    </r>
    <r>
      <rPr>
        <b/>
        <sz val="10"/>
        <color theme="2"/>
        <rFont val="Arial"/>
        <family val="2"/>
        <charset val="163"/>
      </rPr>
      <t>tâm đắc nhất</t>
    </r>
    <r>
      <rPr>
        <sz val="10"/>
        <color theme="2"/>
        <rFont val="Arial"/>
        <family val="2"/>
        <charset val="163"/>
      </rPr>
      <t xml:space="preserve"> trong quá trình thực hiện dự án "Màn hình và Giấc ngủ"? </t>
    </r>
  </si>
  <si>
    <t>Điều 1: Dự án đã cho em hiểu rõ về tầm quan trọng của giấc ngủ.
Điều 2: Dự án đã giúp em nhìn nhận rõ sự ảnh hưởng của việc sử dụng điện thoại trước khi ngủ đối với chất lượng của giấc ngủ.
Điều 3: Qua dự án em đã tìm ra những cách hay có những hành đồng nhằm từ bỏ thói quen sử dụng điện thoại trước khi ngủ.</t>
  </si>
  <si>
    <t>La Thiên 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</si>
</sst>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dd\ hh:mm:ss"/>
  </numFmts>
  <fonts count="13" x14ac:knownFonts="1">
    <font>
      <sz val="10"/>
      <color rgb="FF000000"/>
      <name val="Arial"/>
      <scheme val="minor"/>
    </font>
    <font>
      <sz val="10"/>
      <color theme="1"/>
      <name val="Arial"/>
      <family val="2"/>
      <charset val="163"/>
      <scheme val="minor"/>
    </font>
    <font>
      <b/>
      <sz val="10"/>
      <color theme="1"/>
      <name val="Arial"/>
      <family val="2"/>
      <charset val="163"/>
    </font>
    <font>
      <sz val="10"/>
      <color theme="1"/>
      <name val="Arial"/>
      <family val="2"/>
      <charset val="163"/>
    </font>
    <font>
      <sz val="11"/>
      <name val="Arial"/>
      <family val="2"/>
      <charset val="163"/>
      <scheme val="minor"/>
    </font>
    <font>
      <sz val="10"/>
      <color rgb="FF000000"/>
      <name val="Arial"/>
      <family val="2"/>
      <charset val="163"/>
      <scheme val="minor"/>
    </font>
    <font>
      <b/>
      <sz val="11"/>
      <color theme="1"/>
      <name val="Arial"/>
      <family val="2"/>
      <scheme val="minor"/>
    </font>
    <font>
      <sz val="11"/>
      <name val="Consolas"/>
      <family val="3"/>
      <charset val="163"/>
    </font>
    <font>
      <sz val="10"/>
      <color theme="2"/>
      <name val="Arial"/>
      <family val="2"/>
      <charset val="163"/>
      <scheme val="minor"/>
    </font>
    <font>
      <b/>
      <sz val="10"/>
      <color rgb="FF000000"/>
      <name val="Arial"/>
      <family val="2"/>
      <charset val="163"/>
      <scheme val="minor"/>
    </font>
    <font>
      <i/>
      <sz val="10"/>
      <color rgb="FF000000"/>
      <name val="Arial"/>
      <family val="2"/>
      <charset val="163"/>
      <scheme val="minor"/>
    </font>
    <font>
      <b/>
      <sz val="10"/>
      <color theme="2"/>
      <name val="Arial"/>
      <family val="2"/>
      <charset val="163"/>
    </font>
    <font>
      <sz val="10"/>
      <color theme="2"/>
      <name val="Arial"/>
      <family val="2"/>
      <charset val="163"/>
    </font>
  </fonts>
  <fills count="12">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s>
  <borders count="9">
    <border>
      <left/>
      <right/>
      <top/>
      <bottom/>
      <diagonal/>
    </border>
    <border>
      <left/>
      <right/>
      <top style="thin">
        <color rgb="FF5B3F86"/>
      </top>
      <bottom/>
      <diagonal/>
    </border>
    <border>
      <left/>
      <right/>
      <top/>
      <bottom style="thin">
        <color rgb="FF5B3F86"/>
      </bottom>
      <diagonal/>
    </border>
    <border>
      <left style="thin">
        <color auto="1"/>
      </left>
      <right style="thin">
        <color auto="1"/>
      </right>
      <top style="thin">
        <color auto="1"/>
      </top>
      <bottom style="thin">
        <color auto="1"/>
      </bottom>
      <diagonal/>
    </border>
    <border>
      <left/>
      <right style="thin">
        <color rgb="FF5B3F86"/>
      </right>
      <top style="thin">
        <color rgb="FF5B3F86"/>
      </top>
      <bottom/>
      <diagonal/>
    </border>
    <border>
      <left/>
      <right style="thin">
        <color rgb="FF5B3F86"/>
      </right>
      <top/>
      <bottom/>
      <diagonal/>
    </border>
    <border>
      <left/>
      <right style="thin">
        <color rgb="FF5B3F86"/>
      </right>
      <top/>
      <bottom style="thin">
        <color rgb="FF5B3F86"/>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1">
    <xf numFmtId="0" fontId="0" fillId="0" borderId="0" xfId="0"/>
    <xf numFmtId="0" fontId="0" fillId="3" borderId="0" xfId="0" applyFill="1"/>
    <xf numFmtId="0" fontId="0" fillId="2" borderId="0" xfId="0" applyFill="1"/>
    <xf numFmtId="0" fontId="6" fillId="0" borderId="3" xfId="0" applyFont="1" applyBorder="1" applyAlignment="1">
      <alignment horizontal="center" vertical="top"/>
    </xf>
    <xf numFmtId="0" fontId="6" fillId="2" borderId="3" xfId="0" applyFont="1" applyFill="1" applyBorder="1" applyAlignment="1">
      <alignment horizontal="center" vertical="top"/>
    </xf>
    <xf numFmtId="0" fontId="6" fillId="8" borderId="3" xfId="0" applyFont="1" applyFill="1" applyBorder="1" applyAlignment="1">
      <alignment horizontal="center" vertical="top"/>
    </xf>
    <xf numFmtId="0" fontId="6" fillId="9" borderId="3" xfId="0" applyFont="1" applyFill="1" applyBorder="1" applyAlignment="1">
      <alignment horizontal="center" vertical="top"/>
    </xf>
    <xf numFmtId="165" fontId="0" fillId="0" borderId="0" xfId="0" applyNumberFormat="1"/>
    <xf numFmtId="0" fontId="0" fillId="8" borderId="0" xfId="0" applyFill="1"/>
    <xf numFmtId="0" fontId="0" fillId="9" borderId="0" xfId="0" applyFill="1"/>
    <xf numFmtId="0" fontId="0" fillId="7" borderId="0" xfId="0" applyFill="1"/>
    <xf numFmtId="0" fontId="0" fillId="6" borderId="0" xfId="0" applyFill="1"/>
    <xf numFmtId="0" fontId="0" fillId="7" borderId="5" xfId="0" applyFill="1" applyBorder="1"/>
    <xf numFmtId="0" fontId="0" fillId="6" borderId="5" xfId="0" applyFill="1" applyBorder="1"/>
    <xf numFmtId="0" fontId="1" fillId="6" borderId="0" xfId="0" applyFont="1" applyFill="1" applyAlignment="1">
      <alignment vertical="center"/>
    </xf>
    <xf numFmtId="0" fontId="1" fillId="6" borderId="5" xfId="0" applyFont="1" applyFill="1" applyBorder="1" applyAlignment="1">
      <alignment vertical="center"/>
    </xf>
    <xf numFmtId="0" fontId="1" fillId="7" borderId="0" xfId="0" applyFont="1" applyFill="1" applyAlignment="1">
      <alignment vertical="center"/>
    </xf>
    <xf numFmtId="0" fontId="1" fillId="7" borderId="5" xfId="0" applyFont="1" applyFill="1" applyBorder="1" applyAlignment="1">
      <alignment vertical="center"/>
    </xf>
    <xf numFmtId="0" fontId="1" fillId="7" borderId="2" xfId="0" applyFont="1" applyFill="1" applyBorder="1" applyAlignment="1">
      <alignment vertical="center"/>
    </xf>
    <xf numFmtId="0" fontId="1" fillId="7" borderId="6" xfId="0" applyFont="1" applyFill="1" applyBorder="1" applyAlignment="1">
      <alignment vertical="center"/>
    </xf>
    <xf numFmtId="0" fontId="0" fillId="7" borderId="2" xfId="0" applyFill="1" applyBorder="1"/>
    <xf numFmtId="0" fontId="0" fillId="7" borderId="6" xfId="0" applyFill="1" applyBorder="1"/>
    <xf numFmtId="0" fontId="5" fillId="6" borderId="0" xfId="0" applyFont="1" applyFill="1"/>
    <xf numFmtId="0" fontId="7" fillId="6" borderId="5" xfId="0" applyFont="1" applyFill="1" applyBorder="1"/>
    <xf numFmtId="0" fontId="9" fillId="0" borderId="0" xfId="0" applyFont="1"/>
    <xf numFmtId="0" fontId="0" fillId="0" borderId="7" xfId="0" applyBorder="1"/>
    <xf numFmtId="0" fontId="10" fillId="0" borderId="8" xfId="0" applyFont="1" applyBorder="1" applyAlignment="1">
      <alignment horizontal="center"/>
    </xf>
    <xf numFmtId="0" fontId="0" fillId="11" borderId="0" xfId="0" applyFill="1"/>
    <xf numFmtId="0" fontId="1" fillId="6" borderId="0" xfId="0" applyFont="1" applyFill="1" applyAlignment="1">
      <alignment vertical="center" wrapText="1"/>
    </xf>
    <xf numFmtId="0" fontId="1" fillId="7" borderId="0" xfId="0" applyFont="1" applyFill="1" applyAlignment="1">
      <alignment vertical="center" wrapText="1"/>
    </xf>
    <xf numFmtId="0" fontId="0" fillId="7" borderId="0" xfId="0" applyFill="1" applyAlignment="1">
      <alignment wrapText="1"/>
    </xf>
    <xf numFmtId="0" fontId="0" fillId="6" borderId="0" xfId="0" applyFill="1" applyAlignment="1">
      <alignment wrapText="1"/>
    </xf>
    <xf numFmtId="0" fontId="1" fillId="7" borderId="2" xfId="0" applyFont="1" applyFill="1" applyBorder="1" applyAlignment="1">
      <alignment vertical="center" wrapText="1"/>
    </xf>
    <xf numFmtId="0" fontId="1" fillId="10" borderId="0" xfId="0" applyFont="1" applyFill="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8" fillId="0" borderId="0" xfId="0" applyFont="1" applyAlignment="1">
      <alignment horizontal="center"/>
    </xf>
    <xf numFmtId="0" fontId="0" fillId="0" borderId="0" xfId="0" applyAlignment="1">
      <alignment horizontal="center"/>
    </xf>
    <xf numFmtId="0" fontId="8"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4" xfId="0" applyFont="1" applyFill="1" applyBorder="1" applyAlignment="1">
      <alignment horizontal="center" vertical="center"/>
    </xf>
    <xf numFmtId="164" fontId="1" fillId="0" borderId="0" xfId="0" applyNumberFormat="1" applyFont="1" applyAlignment="1">
      <alignment horizontal="center" vertical="center"/>
    </xf>
    <xf numFmtId="0" fontId="1" fillId="0" borderId="0" xfId="0" applyFont="1" applyAlignment="1">
      <alignment horizontal="center" vertical="center"/>
    </xf>
    <xf numFmtId="0" fontId="5" fillId="0" borderId="0" xfId="0" applyFont="1" applyAlignment="1">
      <alignment horizontal="center"/>
    </xf>
    <xf numFmtId="0" fontId="7" fillId="0" borderId="0" xfId="0" applyFont="1" applyAlignment="1">
      <alignment horizontal="center"/>
    </xf>
    <xf numFmtId="0" fontId="0" fillId="4" borderId="0" xfId="0" applyFill="1" applyAlignment="1">
      <alignment horizontal="center"/>
    </xf>
    <xf numFmtId="0" fontId="0" fillId="2" borderId="0" xfId="0" applyFill="1" applyAlignment="1">
      <alignment horizontal="center"/>
    </xf>
    <xf numFmtId="0" fontId="4" fillId="2" borderId="0" xfId="0" applyFont="1" applyFill="1" applyAlignment="1">
      <alignment horizontal="center" vertical="center"/>
    </xf>
    <xf numFmtId="0" fontId="0" fillId="3" borderId="0" xfId="0" applyFill="1" applyAlignment="1">
      <alignment horizontal="center"/>
    </xf>
    <xf numFmtId="0" fontId="9" fillId="0" borderId="0" xfId="0" applyFont="1" applyAlignment="1">
      <alignment horizontal="center"/>
    </xf>
  </cellXfs>
  <cellStyles count="1">
    <cellStyle name="Normal" xfId="0" builtinId="0"/>
  </cellStyles>
  <dxfs count="34">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fill>
        <patternFill patternType="solid">
          <fgColor indexed="64"/>
          <bgColor theme="8" tint="0.79998168889431442"/>
        </patternFill>
      </fill>
      <alignment horizontal="center" textRotation="0" wrapText="0" indent="0" justifyLastLine="0" shrinkToFit="0" readingOrder="0"/>
    </dxf>
    <dxf>
      <fill>
        <patternFill patternType="solid">
          <fgColor indexed="64"/>
          <bgColor theme="8" tint="0.79998168889431442"/>
        </patternFill>
      </fill>
      <alignment horizontal="center" textRotation="0" wrapText="0" indent="0" justifyLastLine="0" shrinkToFit="0" readingOrder="0"/>
    </dxf>
    <dxf>
      <fill>
        <patternFill patternType="solid">
          <fgColor indexed="64"/>
          <bgColor theme="8" tint="0.79998168889431442"/>
        </patternFill>
      </fill>
      <alignment horizontal="center" textRotation="0" wrapText="0" indent="0" justifyLastLine="0" shrinkToFit="0" readingOrder="0"/>
    </dxf>
    <dxf>
      <fill>
        <patternFill patternType="solid">
          <fgColor indexed="64"/>
          <bgColor theme="8" tint="0.79998168889431442"/>
        </patternFill>
      </fill>
      <alignment horizontal="center" textRotation="0" wrapText="0" indent="0" justifyLastLine="0" shrinkToFit="0" readingOrder="0"/>
    </dxf>
    <dxf>
      <fill>
        <patternFill patternType="solid">
          <fgColor indexed="64"/>
          <bgColor theme="8" tint="0.79998168889431442"/>
        </patternFill>
      </fill>
      <alignment horizontal="center" textRotation="0" wrapText="0" indent="0" justifyLastLine="0" shrinkToFit="0" readingOrder="0"/>
    </dxf>
    <dxf>
      <fill>
        <patternFill patternType="solid">
          <fgColor indexed="64"/>
          <bgColor theme="8" tint="0.79998168889431442"/>
        </patternFill>
      </fill>
      <alignment horizontal="center" textRotation="0" wrapText="0" indent="0" justifyLastLine="0" shrinkToFit="0" readingOrder="0"/>
    </dxf>
    <dxf>
      <fill>
        <patternFill patternType="solid">
          <fgColor indexed="64"/>
          <bgColor theme="8" tint="0.79998168889431442"/>
        </patternFill>
      </fill>
      <alignment horizontal="center" textRotation="0" wrapText="0" indent="0" justifyLastLine="0" shrinkToFit="0" readingOrder="0"/>
    </dxf>
    <dxf>
      <fill>
        <patternFill patternType="solid">
          <fgColor indexed="64"/>
          <bgColor theme="8" tint="0.79998168889431442"/>
        </patternFill>
      </fill>
      <alignment horizontal="center" textRotation="0" wrapText="0" indent="0" justifyLastLine="0" shrinkToFit="0" readingOrder="0"/>
    </dxf>
    <dxf>
      <fill>
        <patternFill patternType="solid">
          <fgColor indexed="64"/>
          <bgColor theme="8" tint="0.79998168889431442"/>
        </patternFill>
      </fill>
      <alignment horizontal="center" textRotation="0" wrapText="0" indent="0" justifyLastLine="0" shrinkToFit="0" readingOrder="0"/>
    </dxf>
    <dxf>
      <fill>
        <patternFill patternType="solid">
          <fgColor indexed="64"/>
          <bgColor theme="8" tint="0.79998168889431442"/>
        </patternFill>
      </fill>
      <alignment horizontal="center" textRotation="0" wrapText="0" indent="0" justifyLastLine="0" shrinkToFit="0" readingOrder="0"/>
    </dxf>
    <dxf>
      <fill>
        <patternFill patternType="solid">
          <fgColor indexed="64"/>
          <bgColor theme="7" tint="0.79998168889431442"/>
        </patternFill>
      </fill>
      <alignment horizontal="center" textRotation="0" wrapText="0" indent="0" justifyLastLine="0" shrinkToFit="0" readingOrder="0"/>
    </dxf>
    <dxf>
      <fill>
        <patternFill patternType="solid">
          <fgColor indexed="64"/>
          <bgColor theme="7" tint="0.79998168889431442"/>
        </patternFill>
      </fill>
      <alignment horizontal="center" textRotation="0" wrapText="0" indent="0" justifyLastLine="0" shrinkToFit="0" readingOrder="0"/>
    </dxf>
    <dxf>
      <fill>
        <patternFill patternType="solid">
          <fgColor indexed="64"/>
          <bgColor theme="7" tint="0.79998168889431442"/>
        </patternFill>
      </fill>
      <alignment horizontal="center" textRotation="0" wrapText="0" indent="0" justifyLastLine="0" shrinkToFit="0" readingOrder="0"/>
    </dxf>
    <dxf>
      <fill>
        <patternFill patternType="solid">
          <fgColor indexed="64"/>
          <bgColor theme="7" tint="0.79998168889431442"/>
        </patternFill>
      </fill>
      <alignment horizontal="center" textRotation="0" wrapText="0" indent="0" justifyLastLine="0" shrinkToFit="0" readingOrder="0"/>
    </dxf>
    <dxf>
      <fill>
        <patternFill patternType="solid">
          <fgColor indexed="64"/>
          <bgColor theme="7" tint="0.79998168889431442"/>
        </patternFill>
      </fill>
      <alignment horizontal="center" textRotation="0" wrapText="0" indent="0" justifyLastLine="0" shrinkToFit="0" readingOrder="0"/>
    </dxf>
    <dxf>
      <fill>
        <patternFill patternType="solid">
          <fgColor indexed="64"/>
          <bgColor theme="7" tint="0.79998168889431442"/>
        </patternFill>
      </fill>
      <alignment horizontal="center" textRotation="0" wrapText="0" indent="0" justifyLastLine="0" shrinkToFit="0" readingOrder="0"/>
    </dxf>
    <dxf>
      <fill>
        <patternFill patternType="solid">
          <fgColor indexed="64"/>
          <bgColor theme="4" tint="0.79998168889431442"/>
        </patternFill>
      </fill>
      <alignment horizontal="center" textRotation="0" wrapText="0" indent="0" justifyLastLine="0" shrinkToFit="0" readingOrder="0"/>
    </dxf>
    <dxf>
      <fill>
        <patternFill patternType="solid">
          <fgColor indexed="64"/>
          <bgColor theme="4" tint="0.79998168889431442"/>
        </patternFill>
      </fill>
      <alignment horizontal="center" textRotation="0" wrapText="0" indent="0" justifyLastLine="0" shrinkToFit="0" readingOrder="0"/>
    </dxf>
    <dxf>
      <fill>
        <patternFill patternType="solid">
          <fgColor indexed="64"/>
          <bgColor theme="4" tint="0.79998168889431442"/>
        </patternFill>
      </fill>
      <alignment horizontal="center" textRotation="0" wrapText="0" indent="0" justifyLastLine="0" shrinkToFit="0" readingOrder="0"/>
    </dxf>
    <dxf>
      <fill>
        <patternFill patternType="solid">
          <fgColor indexed="64"/>
          <bgColor theme="4" tint="0.79998168889431442"/>
        </patternFill>
      </fill>
      <alignment horizontal="center" textRotation="0" wrapText="0" indent="0" justifyLastLine="0" shrinkToFit="0" readingOrder="0"/>
    </dxf>
    <dxf>
      <fill>
        <patternFill patternType="solid">
          <fgColor indexed="64"/>
          <bgColor theme="4" tint="0.79998168889431442"/>
        </patternFill>
      </fill>
      <alignment horizontal="center" textRotation="0" wrapText="0" indent="0" justifyLastLine="0" shrinkToFit="0" readingOrder="0"/>
    </dxf>
    <dxf>
      <fill>
        <patternFill patternType="solid">
          <fgColor indexed="64"/>
          <bgColor theme="4" tint="0.79998168889431442"/>
        </patternFill>
      </fil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Câu trả lời biểu mẫu 1-style" pivot="0" count="4" xr9:uid="{00000000-0011-0000-FFFF-FFFF00000000}">
      <tableStyleElement type="wholeTable" size="0" dxfId="33"/>
      <tableStyleElement type="headerRow" dxfId="32"/>
      <tableStyleElement type="firstRowStripe" dxfId="31"/>
      <tableStyleElement type="second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A37" headerRowDxfId="29" dataDxfId="28" totalsRowDxfId="27">
  <tableColumns count="27">
    <tableColumn id="1" xr3:uid="{00000000-0010-0000-0000-000001000000}" name="Dấu thời gian" dataDxfId="26"/>
    <tableColumn id="2" xr3:uid="{00000000-0010-0000-0000-000002000000}" name="Họ và tên " dataDxfId="25"/>
    <tableColumn id="3" xr3:uid="{00000000-0010-0000-0000-000003000000}" name="1. Phát triển bền vững là sự phát triển đáp ứng nhu cầu hiện tại mà không làm tổn hại đến khả năng đáp ứng nhu cầu của thế hệ tương lai." dataDxfId="24"/>
    <tableColumn id="4" xr3:uid="{00000000-0010-0000-0000-000004000000}" name="2. Mục tiêu Phát triển Bền vững số 3 (SDG 3) hướng đến đảm bảo sức khỏe tốt và cuộc sống hạnh phúc cho mọi người ở mọi lứa tuổi." dataDxfId="23"/>
    <tableColumn id="5" xr3:uid="{00000000-0010-0000-0000-000005000000}" name="3. Thanh thiếu niên (13-18 tuổi) cần ngủ từ 8-10 giờ mỗi đêm để phát triển thể chất và tinh thần tốt nhất." dataDxfId="22"/>
    <tableColumn id="6" xr3:uid="{00000000-0010-0000-0000-000006000000}" name="4. Ánh sáng xanh từ màn hình điện thoại, máy tính có thể ức chế hormone melatonin, gây khó ngủ và giảm chất lượng giấc ngủ." dataDxfId="21"/>
    <tableColumn id="7" xr3:uid="{00000000-0010-0000-0000-000007000000}" name="5. Việc sử dụng màn hình thiết bị điện tử trước khi ngủ (xem phim, chơi game, lướt mạng) có thể làm giảm thời gian ngủ và ảnh hưởng đến kết quả học tập." dataDxfId="20"/>
    <tableColumn id="8" xr3:uid="{00000000-0010-0000-0000-000008000000}" name="6. Ngủ không đủ giấc kéo dài có thể gây ảnh hưởng tiêu cực đến trí nhớ, khả năng tập trung và sức khỏe tâm lý." dataDxfId="19"/>
    <tableColumn id="9" xr3:uid="{00000000-0010-0000-0000-000009000000}" name="7. Để đảm bảo giấc ngủ khỏe mạnh, chúng ta cần có những quy định rõ ràng về thời gian sử dụng thiết bị điện tử trong gia đình và nhà trường." dataDxfId="18"/>
    <tableColumn id="10" xr3:uid="{00000000-0010-0000-0000-00000A000000}" name="8. Các công ty sản xuất điện thoại và ứng dụng có trách nhiệm cảnh báo người dùng về tác hại của việc sử dụng màn hình quá nhiều trước khi ngủ." dataDxfId="17"/>
    <tableColumn id="11" xr3:uid="{00000000-0010-0000-0000-00000B000000}" name="9. Giấc ngủ tốt không chỉ quan trọng cho cá nhân mà còn góp phần xây dựng một cộng đồng khỏe mạnh và phát triển bền vững." dataDxfId="16"/>
    <tableColumn id="12" xr3:uid="{00000000-0010-0000-0000-00000C000000}" name="10. Em cho rằng việc sử dụng thiết bị điện tử (điện thoại, máy tính bảng) trước khi ngủ là một thói quen khó bỏ nhưng cần thay đổi." dataDxfId="15"/>
    <tableColumn id="13" xr3:uid="{00000000-0010-0000-0000-00000D000000}" name="11. Em sẵn sàng tắt các thiết bị điện tử ít nhất 30 phút trước khi đi ngủ để cải thiện sức khỏe của mình." dataDxfId="14"/>
    <tableColumn id="14" xr3:uid="{00000000-0010-0000-0000-00000E000000}" name="12. Em đã từng hoặc sẽ nhắc nhở bạn bè, người thân về tác hại của việc dùng điện thoại quá khuya." dataDxfId="13"/>
    <tableColumn id="15" xr3:uid="{00000000-0010-0000-0000-00000F000000}" name="1. Em hứng thú với chủ đề dự án &quot;Màn hình và Giấc ngủ&quot; có liên quan đến phát triển bền vững (SDG 3)." dataDxfId="12"/>
    <tableColumn id="16" xr3:uid="{00000000-0010-0000-0000-000010000000}" name="2. Em hiểu và thực hiện tốt các nhiệm vụ trong dự án (khảo sát, nhập liệu, tính toán)." dataDxfId="11"/>
    <tableColumn id="17" xr3:uid="{00000000-0010-0000-0000-000011000000}" name="3. Em hiểu được ý nghĩa của các số đặc trưng thống kê (số trung bình, trung vị, độ lệch chuẩn) trong việc phân tích dữ liệu thực tế về giấc ngủ." dataDxfId="10"/>
    <tableColumn id="18" xr3:uid="{00000000-0010-0000-0000-000012000000}" name="4. Em hứng thú với việc trực tiếp thu thập dữ liệu từ bạn bè và sử dụng Excel để xử lý, tính toán, từ đó đưa ra kết luận về thói quen sử dụng màn hình." dataDxfId="9"/>
    <tableColumn id="19" xr3:uid="{00000000-0010-0000-0000-000013000000}" name="5. Em hứng thú với việc tìm hiểu mối liên hệ giữa thời gian dùng màn hình trước khi ngủ và chất lượng giấc ngủ của học sinh trong lớp." dataDxfId="8"/>
    <tableColumn id="20" xr3:uid="{00000000-0010-0000-0000-000014000000}" name="6. Em thích được thảo luận nhóm, phân công nhiệm vụ và cùng nhau thiết kế poster tuyên truyền về giấc ngủ lành mạnh." dataDxfId="7"/>
    <tableColumn id="21" xr3:uid="{00000000-0010-0000-0000-000015000000}" name="7. Em cảm thấy dễ dàng tiếp thu kiến thức thống kê và nâng cao năng lực giải quyết vấn đề thực tiễn qua dự án này." dataDxfId="6"/>
    <tableColumn id="22" xr3:uid="{00000000-0010-0000-0000-000016000000}" name="8. Em hứng thú học với dự án này vì nó giúp em hiểu rõ hơn về sức khỏe của chính bản thân mình." dataDxfId="5"/>
    <tableColumn id="23" xr3:uid="{00000000-0010-0000-0000-000017000000}" name="9. Em cảm thấy hiểu biết của mình về phát triển bền vững (đặc biệt là mục tiêu sức khỏe) được nâng cao sau dự án." dataDxfId="4"/>
    <tableColumn id="24" xr3:uid="{00000000-0010-0000-0000-000018000000}" name="10. Em sẵn sàng tham gia những dự án học tập có chủ đề tương tự (gắn kết toán học với thực tiễn và phát triển bền vững)." dataDxfId="3"/>
    <tableColumn id="25" xr3:uid="{00000000-0010-0000-0000-000019000000}" name="MTkt" dataDxfId="2">
      <calculatedColumnFormula>AVERAGE(C2:H2)</calculatedColumnFormula>
    </tableColumn>
    <tableColumn id="26" xr3:uid="{00000000-0010-0000-0000-00001A000000}" name="MTtd" dataDxfId="1">
      <calculatedColumnFormula>AVERAGE(I2:N2)</calculatedColumnFormula>
    </tableColumn>
    <tableColumn id="27" xr3:uid="{00000000-0010-0000-0000-00001B000000}" name="MThv" dataDxfId="0">
      <calculatedColumnFormula>AVERAGE(O2:X2)</calculatedColumnFormula>
    </tableColumn>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411C0-5331-4B10-86F3-27525715B9A0}">
  <dimension ref="A1:AA37"/>
  <sheetViews>
    <sheetView tabSelected="1" topLeftCell="A9" workbookViewId="0">
      <selection activeCell="B34" sqref="B34"/>
    </sheetView>
  </sheetViews>
  <sheetFormatPr defaultRowHeight="13.2" x14ac:dyDescent="0.25"/>
  <cols>
    <col min="1" max="1" width="31.77734375" customWidth="1"/>
    <col min="2" max="2" width="31.109375" customWidth="1"/>
  </cols>
  <sheetData>
    <row r="1" spans="1:27" ht="13.8" x14ac:dyDescent="0.25">
      <c r="A1" s="3" t="s">
        <v>0</v>
      </c>
      <c r="B1" s="3" t="s">
        <v>1</v>
      </c>
      <c r="C1" s="4" t="s">
        <v>2</v>
      </c>
      <c r="D1" s="4" t="s">
        <v>3</v>
      </c>
      <c r="E1" s="4" t="s">
        <v>4</v>
      </c>
      <c r="F1" s="4" t="s">
        <v>5</v>
      </c>
      <c r="G1" s="4" t="s">
        <v>6</v>
      </c>
      <c r="H1" s="4" t="s">
        <v>7</v>
      </c>
      <c r="I1" s="5" t="s">
        <v>8</v>
      </c>
      <c r="J1" s="5" t="s">
        <v>9</v>
      </c>
      <c r="K1" s="5" t="s">
        <v>10</v>
      </c>
      <c r="L1" s="5" t="s">
        <v>11</v>
      </c>
      <c r="M1" s="5" t="s">
        <v>12</v>
      </c>
      <c r="N1" s="5" t="s">
        <v>13</v>
      </c>
      <c r="O1" s="6" t="s">
        <v>14</v>
      </c>
      <c r="P1" s="6" t="s">
        <v>15</v>
      </c>
      <c r="Q1" s="6" t="s">
        <v>16</v>
      </c>
      <c r="R1" s="6" t="s">
        <v>17</v>
      </c>
      <c r="S1" s="6" t="s">
        <v>18</v>
      </c>
      <c r="T1" s="6" t="s">
        <v>19</v>
      </c>
      <c r="U1" s="6" t="s">
        <v>20</v>
      </c>
      <c r="V1" s="6" t="s">
        <v>21</v>
      </c>
      <c r="W1" s="6" t="s">
        <v>22</v>
      </c>
      <c r="X1" s="6" t="s">
        <v>23</v>
      </c>
      <c r="Y1" s="6" t="s">
        <v>157</v>
      </c>
      <c r="Z1" s="6" t="s">
        <v>158</v>
      </c>
      <c r="AA1" s="6" t="s">
        <v>159</v>
      </c>
    </row>
    <row r="2" spans="1:27" ht="14.4" x14ac:dyDescent="0.3">
      <c r="A2" s="7">
        <v>46095.926365740743</v>
      </c>
      <c r="B2" t="s">
        <v>26</v>
      </c>
      <c r="C2" s="2">
        <v>3</v>
      </c>
      <c r="D2" s="2">
        <v>1</v>
      </c>
      <c r="E2" s="2">
        <v>3</v>
      </c>
      <c r="F2" s="2">
        <v>3</v>
      </c>
      <c r="G2" s="2">
        <v>3</v>
      </c>
      <c r="H2" s="2">
        <v>3</v>
      </c>
      <c r="I2" s="8">
        <v>3</v>
      </c>
      <c r="J2" s="8">
        <v>3</v>
      </c>
      <c r="K2" s="8">
        <v>5</v>
      </c>
      <c r="L2" s="8">
        <v>2</v>
      </c>
      <c r="M2" s="8">
        <v>4</v>
      </c>
      <c r="N2" s="8">
        <v>4</v>
      </c>
      <c r="O2" s="9">
        <v>5</v>
      </c>
      <c r="P2" s="9">
        <v>5</v>
      </c>
      <c r="Q2" s="9">
        <v>2</v>
      </c>
      <c r="R2" s="9">
        <v>3</v>
      </c>
      <c r="S2" s="9">
        <v>2</v>
      </c>
      <c r="T2" s="9">
        <v>4</v>
      </c>
      <c r="U2" s="9">
        <v>4</v>
      </c>
      <c r="V2" s="9">
        <v>2</v>
      </c>
      <c r="W2" s="9">
        <v>4</v>
      </c>
      <c r="X2" s="9">
        <v>8</v>
      </c>
      <c r="Y2" s="22">
        <f t="shared" ref="Y2:Y37" si="0">AVERAGE(C2:H2)</f>
        <v>2.6666666666666665</v>
      </c>
      <c r="Z2" s="11">
        <f t="shared" ref="Z2:Z37" si="1">AVERAGE(I2:N2)</f>
        <v>3.5</v>
      </c>
      <c r="AA2" s="23">
        <f>AVERAGE(O2:X2)</f>
        <v>3.9</v>
      </c>
    </row>
    <row r="3" spans="1:27" x14ac:dyDescent="0.25">
      <c r="A3" s="7">
        <v>46095.926469907405</v>
      </c>
      <c r="B3" t="s">
        <v>30</v>
      </c>
      <c r="C3" s="2">
        <v>3</v>
      </c>
      <c r="D3" s="2">
        <v>3</v>
      </c>
      <c r="E3" s="2">
        <v>1</v>
      </c>
      <c r="F3" s="2">
        <v>1</v>
      </c>
      <c r="G3" s="2">
        <v>2</v>
      </c>
      <c r="H3" s="2">
        <v>1</v>
      </c>
      <c r="I3" s="8">
        <v>3</v>
      </c>
      <c r="J3" s="8">
        <v>1</v>
      </c>
      <c r="K3" s="8">
        <v>2</v>
      </c>
      <c r="L3" s="8">
        <v>1</v>
      </c>
      <c r="M3" s="8">
        <v>3</v>
      </c>
      <c r="N3" s="8">
        <v>2</v>
      </c>
      <c r="O3" s="9">
        <v>3</v>
      </c>
      <c r="P3" s="9">
        <v>3</v>
      </c>
      <c r="Q3" s="9">
        <v>4</v>
      </c>
      <c r="R3" s="9">
        <v>5</v>
      </c>
      <c r="S3" s="9">
        <v>3</v>
      </c>
      <c r="T3" s="9">
        <v>4</v>
      </c>
      <c r="U3" s="9">
        <v>5</v>
      </c>
      <c r="V3" s="9">
        <v>2</v>
      </c>
      <c r="W3" s="9">
        <v>4</v>
      </c>
      <c r="X3" s="9">
        <v>3</v>
      </c>
      <c r="Y3" s="10">
        <f t="shared" si="0"/>
        <v>1.8333333333333333</v>
      </c>
      <c r="Z3" s="10">
        <f t="shared" si="1"/>
        <v>2</v>
      </c>
      <c r="AA3" s="12">
        <f t="shared" ref="AA3:AA37" si="2">AVERAGE(O3:X3)</f>
        <v>3.6</v>
      </c>
    </row>
    <row r="4" spans="1:27" x14ac:dyDescent="0.25">
      <c r="A4" s="7">
        <v>46095.927800925929</v>
      </c>
      <c r="B4" t="s">
        <v>33</v>
      </c>
      <c r="C4" s="2">
        <v>1</v>
      </c>
      <c r="D4" s="2">
        <v>2</v>
      </c>
      <c r="E4" s="2">
        <v>3</v>
      </c>
      <c r="F4" s="2">
        <v>1</v>
      </c>
      <c r="G4" s="2">
        <v>2</v>
      </c>
      <c r="H4" s="2">
        <v>2</v>
      </c>
      <c r="I4" s="8">
        <v>2</v>
      </c>
      <c r="J4" s="8">
        <v>1</v>
      </c>
      <c r="K4" s="8">
        <v>2</v>
      </c>
      <c r="L4" s="8">
        <v>2</v>
      </c>
      <c r="M4" s="8">
        <v>3</v>
      </c>
      <c r="N4" s="8">
        <v>3</v>
      </c>
      <c r="O4" s="9">
        <v>6</v>
      </c>
      <c r="P4" s="9">
        <v>3</v>
      </c>
      <c r="Q4" s="9">
        <v>4</v>
      </c>
      <c r="R4" s="9">
        <v>3</v>
      </c>
      <c r="S4" s="9">
        <v>4</v>
      </c>
      <c r="T4" s="9">
        <v>3</v>
      </c>
      <c r="U4" s="9">
        <v>3</v>
      </c>
      <c r="V4" s="9">
        <v>3</v>
      </c>
      <c r="W4" s="9">
        <v>5</v>
      </c>
      <c r="X4" s="9">
        <v>8</v>
      </c>
      <c r="Y4" s="11">
        <f t="shared" si="0"/>
        <v>1.8333333333333333</v>
      </c>
      <c r="Z4" s="11">
        <f t="shared" si="1"/>
        <v>2.1666666666666665</v>
      </c>
      <c r="AA4" s="13">
        <f t="shared" si="2"/>
        <v>4.2</v>
      </c>
    </row>
    <row r="5" spans="1:27" x14ac:dyDescent="0.25">
      <c r="A5" s="7">
        <v>46095.927997685183</v>
      </c>
      <c r="B5" t="s">
        <v>37</v>
      </c>
      <c r="C5" s="2">
        <v>2</v>
      </c>
      <c r="D5" s="2">
        <v>2</v>
      </c>
      <c r="E5" s="2">
        <v>2</v>
      </c>
      <c r="F5" s="2">
        <v>3</v>
      </c>
      <c r="G5" s="2">
        <v>2</v>
      </c>
      <c r="H5" s="2">
        <v>1</v>
      </c>
      <c r="I5" s="8">
        <v>3</v>
      </c>
      <c r="J5" s="8">
        <v>2</v>
      </c>
      <c r="K5" s="8">
        <v>2</v>
      </c>
      <c r="L5" s="8">
        <v>2</v>
      </c>
      <c r="M5" s="8">
        <v>1</v>
      </c>
      <c r="N5" s="8">
        <v>3</v>
      </c>
      <c r="O5" s="9">
        <v>2</v>
      </c>
      <c r="P5" s="9">
        <v>5</v>
      </c>
      <c r="Q5" s="9">
        <v>2</v>
      </c>
      <c r="R5" s="9">
        <v>4</v>
      </c>
      <c r="S5" s="9">
        <v>2</v>
      </c>
      <c r="T5" s="9">
        <v>4</v>
      </c>
      <c r="U5" s="9">
        <v>4</v>
      </c>
      <c r="V5" s="9">
        <v>3</v>
      </c>
      <c r="W5" s="9">
        <v>3</v>
      </c>
      <c r="X5" s="9">
        <v>8</v>
      </c>
      <c r="Y5" s="10">
        <f t="shared" si="0"/>
        <v>2</v>
      </c>
      <c r="Z5" s="10">
        <f t="shared" si="1"/>
        <v>2.1666666666666665</v>
      </c>
      <c r="AA5" s="12">
        <f t="shared" si="2"/>
        <v>3.7</v>
      </c>
    </row>
    <row r="6" spans="1:27" x14ac:dyDescent="0.25">
      <c r="A6" s="7">
        <v>46095.929039351853</v>
      </c>
      <c r="B6" t="s">
        <v>41</v>
      </c>
      <c r="C6" s="2">
        <v>3</v>
      </c>
      <c r="D6" s="2">
        <v>3</v>
      </c>
      <c r="E6" s="2">
        <v>2</v>
      </c>
      <c r="F6" s="2">
        <v>1</v>
      </c>
      <c r="G6" s="2">
        <v>2</v>
      </c>
      <c r="H6" s="2">
        <v>2</v>
      </c>
      <c r="I6" s="8">
        <v>3</v>
      </c>
      <c r="J6" s="8">
        <v>3</v>
      </c>
      <c r="K6" s="8">
        <v>1</v>
      </c>
      <c r="L6" s="8">
        <v>2</v>
      </c>
      <c r="M6" s="8">
        <v>3</v>
      </c>
      <c r="N6" s="8">
        <v>3</v>
      </c>
      <c r="O6" s="9">
        <v>6</v>
      </c>
      <c r="P6" s="9">
        <v>2</v>
      </c>
      <c r="Q6" s="9">
        <v>5</v>
      </c>
      <c r="R6" s="9">
        <v>3</v>
      </c>
      <c r="S6" s="9">
        <v>5</v>
      </c>
      <c r="T6" s="9">
        <v>3</v>
      </c>
      <c r="U6" s="9">
        <v>4</v>
      </c>
      <c r="V6" s="9">
        <v>3</v>
      </c>
      <c r="W6" s="9">
        <v>5</v>
      </c>
      <c r="X6" s="9">
        <v>5</v>
      </c>
      <c r="Y6" s="11">
        <f t="shared" si="0"/>
        <v>2.1666666666666665</v>
      </c>
      <c r="Z6" s="11">
        <f t="shared" si="1"/>
        <v>2.5</v>
      </c>
      <c r="AA6" s="13">
        <f t="shared" si="2"/>
        <v>4.0999999999999996</v>
      </c>
    </row>
    <row r="7" spans="1:27" x14ac:dyDescent="0.25">
      <c r="A7" s="7">
        <v>46095.930219907408</v>
      </c>
      <c r="B7" t="s">
        <v>43</v>
      </c>
      <c r="C7" s="2">
        <v>2</v>
      </c>
      <c r="D7" s="2">
        <v>2</v>
      </c>
      <c r="E7" s="2">
        <v>2</v>
      </c>
      <c r="F7" s="2">
        <v>1</v>
      </c>
      <c r="G7" s="2">
        <v>1</v>
      </c>
      <c r="H7" s="2">
        <v>3</v>
      </c>
      <c r="I7" s="8">
        <v>1</v>
      </c>
      <c r="J7" s="8">
        <v>2</v>
      </c>
      <c r="K7" s="8">
        <v>2</v>
      </c>
      <c r="L7" s="8">
        <v>3</v>
      </c>
      <c r="M7" s="8">
        <v>2</v>
      </c>
      <c r="N7" s="8">
        <v>1</v>
      </c>
      <c r="O7" s="9">
        <v>7</v>
      </c>
      <c r="P7" s="9">
        <v>4</v>
      </c>
      <c r="Q7" s="9">
        <v>4</v>
      </c>
      <c r="R7" s="9">
        <v>4</v>
      </c>
      <c r="S7" s="9">
        <v>4</v>
      </c>
      <c r="T7" s="9">
        <v>3</v>
      </c>
      <c r="U7" s="9">
        <v>3</v>
      </c>
      <c r="V7" s="9">
        <v>2</v>
      </c>
      <c r="W7" s="9">
        <v>8</v>
      </c>
      <c r="X7" s="9">
        <v>3</v>
      </c>
      <c r="Y7" s="10">
        <f t="shared" si="0"/>
        <v>1.8333333333333333</v>
      </c>
      <c r="Z7" s="10">
        <f t="shared" si="1"/>
        <v>1.8333333333333333</v>
      </c>
      <c r="AA7" s="12">
        <f t="shared" si="2"/>
        <v>4.2</v>
      </c>
    </row>
    <row r="8" spans="1:27" x14ac:dyDescent="0.25">
      <c r="A8" s="7">
        <v>46095.930381944447</v>
      </c>
      <c r="B8" t="s">
        <v>47</v>
      </c>
      <c r="C8" s="2">
        <v>4</v>
      </c>
      <c r="D8" s="2">
        <v>3</v>
      </c>
      <c r="E8" s="2">
        <v>4</v>
      </c>
      <c r="F8" s="2">
        <v>3</v>
      </c>
      <c r="G8" s="2">
        <v>3</v>
      </c>
      <c r="H8" s="2">
        <v>4</v>
      </c>
      <c r="I8" s="8">
        <v>4</v>
      </c>
      <c r="J8" s="8">
        <v>5</v>
      </c>
      <c r="K8" s="8">
        <v>2</v>
      </c>
      <c r="L8" s="8">
        <v>3</v>
      </c>
      <c r="M8" s="8">
        <v>3</v>
      </c>
      <c r="N8" s="8">
        <v>5</v>
      </c>
      <c r="O8" s="9">
        <v>6</v>
      </c>
      <c r="P8" s="9">
        <v>5</v>
      </c>
      <c r="Q8" s="9">
        <v>8</v>
      </c>
      <c r="R8" s="9">
        <v>5</v>
      </c>
      <c r="S8" s="9">
        <v>6</v>
      </c>
      <c r="T8" s="9">
        <v>4</v>
      </c>
      <c r="U8" s="9">
        <v>4</v>
      </c>
      <c r="V8" s="9">
        <v>5</v>
      </c>
      <c r="W8" s="9">
        <v>6</v>
      </c>
      <c r="X8" s="9">
        <v>5</v>
      </c>
      <c r="Y8" s="11">
        <f t="shared" si="0"/>
        <v>3.5</v>
      </c>
      <c r="Z8" s="11">
        <f t="shared" si="1"/>
        <v>3.6666666666666665</v>
      </c>
      <c r="AA8" s="13">
        <f t="shared" si="2"/>
        <v>5.4</v>
      </c>
    </row>
    <row r="9" spans="1:27" x14ac:dyDescent="0.25">
      <c r="A9" s="7">
        <v>46095.93236111111</v>
      </c>
      <c r="B9" t="s">
        <v>51</v>
      </c>
      <c r="C9" s="2">
        <v>3</v>
      </c>
      <c r="D9" s="2">
        <v>3</v>
      </c>
      <c r="E9" s="2">
        <v>2</v>
      </c>
      <c r="F9" s="2">
        <v>2</v>
      </c>
      <c r="G9" s="2">
        <v>3</v>
      </c>
      <c r="H9" s="2">
        <v>1</v>
      </c>
      <c r="I9" s="8">
        <v>2</v>
      </c>
      <c r="J9" s="8">
        <v>3</v>
      </c>
      <c r="K9" s="8">
        <v>4</v>
      </c>
      <c r="L9" s="8">
        <v>3</v>
      </c>
      <c r="M9" s="8">
        <v>3</v>
      </c>
      <c r="N9" s="8">
        <v>2</v>
      </c>
      <c r="O9" s="9">
        <v>5</v>
      </c>
      <c r="P9" s="9">
        <v>2</v>
      </c>
      <c r="Q9" s="9">
        <v>5</v>
      </c>
      <c r="R9" s="9">
        <v>3</v>
      </c>
      <c r="S9" s="9">
        <v>5</v>
      </c>
      <c r="T9" s="9">
        <v>4</v>
      </c>
      <c r="U9" s="9">
        <v>4</v>
      </c>
      <c r="V9" s="9">
        <v>8</v>
      </c>
      <c r="W9" s="9">
        <v>2</v>
      </c>
      <c r="X9" s="9">
        <v>2</v>
      </c>
      <c r="Y9" s="10">
        <f t="shared" si="0"/>
        <v>2.3333333333333335</v>
      </c>
      <c r="Z9" s="10">
        <f t="shared" si="1"/>
        <v>2.8333333333333335</v>
      </c>
      <c r="AA9" s="12">
        <f t="shared" si="2"/>
        <v>4</v>
      </c>
    </row>
    <row r="10" spans="1:27" x14ac:dyDescent="0.25">
      <c r="A10" s="7">
        <v>46095.93310185185</v>
      </c>
      <c r="B10" t="s">
        <v>55</v>
      </c>
      <c r="C10" s="2">
        <v>1</v>
      </c>
      <c r="D10" s="2">
        <v>2</v>
      </c>
      <c r="E10" s="2">
        <v>2</v>
      </c>
      <c r="F10" s="2">
        <v>2</v>
      </c>
      <c r="G10" s="2">
        <v>4</v>
      </c>
      <c r="H10" s="2">
        <v>3</v>
      </c>
      <c r="I10" s="8">
        <v>3</v>
      </c>
      <c r="J10" s="8">
        <v>3</v>
      </c>
      <c r="K10" s="8">
        <v>5</v>
      </c>
      <c r="L10" s="8">
        <v>2</v>
      </c>
      <c r="M10" s="8">
        <v>2</v>
      </c>
      <c r="N10" s="8">
        <v>2</v>
      </c>
      <c r="O10" s="9">
        <v>7</v>
      </c>
      <c r="P10" s="9">
        <v>4</v>
      </c>
      <c r="Q10" s="9">
        <v>4</v>
      </c>
      <c r="R10" s="9">
        <v>5</v>
      </c>
      <c r="S10" s="9">
        <v>2</v>
      </c>
      <c r="T10" s="9">
        <v>8</v>
      </c>
      <c r="U10" s="9">
        <v>8</v>
      </c>
      <c r="V10" s="9">
        <v>2</v>
      </c>
      <c r="W10" s="9">
        <v>4</v>
      </c>
      <c r="X10" s="9">
        <v>3</v>
      </c>
      <c r="Y10" s="11">
        <f t="shared" si="0"/>
        <v>2.3333333333333335</v>
      </c>
      <c r="Z10" s="11">
        <f t="shared" si="1"/>
        <v>2.8333333333333335</v>
      </c>
      <c r="AA10" s="13">
        <f t="shared" si="2"/>
        <v>4.7</v>
      </c>
    </row>
    <row r="11" spans="1:27" x14ac:dyDescent="0.25">
      <c r="A11" s="7">
        <v>46095.943993055553</v>
      </c>
      <c r="B11" t="s">
        <v>59</v>
      </c>
      <c r="C11" s="2">
        <v>3</v>
      </c>
      <c r="D11" s="2">
        <v>3</v>
      </c>
      <c r="E11" s="2">
        <v>3</v>
      </c>
      <c r="F11" s="2">
        <v>2</v>
      </c>
      <c r="G11" s="2">
        <v>2</v>
      </c>
      <c r="H11" s="2">
        <v>2</v>
      </c>
      <c r="I11" s="8">
        <v>3</v>
      </c>
      <c r="J11" s="8">
        <v>2</v>
      </c>
      <c r="K11" s="8">
        <v>3</v>
      </c>
      <c r="L11" s="8">
        <v>3</v>
      </c>
      <c r="M11" s="8">
        <v>1</v>
      </c>
      <c r="N11" s="8">
        <v>3</v>
      </c>
      <c r="O11" s="9">
        <v>4</v>
      </c>
      <c r="P11" s="9">
        <v>5</v>
      </c>
      <c r="Q11" s="9">
        <v>6</v>
      </c>
      <c r="R11" s="9">
        <v>7</v>
      </c>
      <c r="S11" s="9">
        <v>8</v>
      </c>
      <c r="T11" s="9">
        <v>8</v>
      </c>
      <c r="U11" s="9">
        <v>7</v>
      </c>
      <c r="V11" s="9">
        <v>6</v>
      </c>
      <c r="W11" s="9">
        <v>5</v>
      </c>
      <c r="X11" s="9">
        <v>4</v>
      </c>
      <c r="Y11" s="10">
        <f t="shared" si="0"/>
        <v>2.5</v>
      </c>
      <c r="Z11" s="10">
        <f t="shared" si="1"/>
        <v>2.5</v>
      </c>
      <c r="AA11" s="12">
        <f t="shared" si="2"/>
        <v>6</v>
      </c>
    </row>
    <row r="12" spans="1:27" x14ac:dyDescent="0.25">
      <c r="A12" s="7">
        <v>46096.061759259261</v>
      </c>
      <c r="B12" t="s">
        <v>63</v>
      </c>
      <c r="C12" s="2">
        <v>3</v>
      </c>
      <c r="D12" s="2">
        <v>3</v>
      </c>
      <c r="E12" s="2">
        <v>2</v>
      </c>
      <c r="F12" s="2">
        <v>1</v>
      </c>
      <c r="G12" s="2">
        <v>1</v>
      </c>
      <c r="H12" s="2">
        <v>3</v>
      </c>
      <c r="I12" s="8">
        <v>2</v>
      </c>
      <c r="J12" s="8">
        <v>3</v>
      </c>
      <c r="K12" s="8">
        <v>2</v>
      </c>
      <c r="L12" s="8">
        <v>2</v>
      </c>
      <c r="M12" s="8">
        <v>3</v>
      </c>
      <c r="N12" s="8">
        <v>2</v>
      </c>
      <c r="O12" s="9">
        <v>8</v>
      </c>
      <c r="P12" s="9">
        <v>4</v>
      </c>
      <c r="Q12" s="9">
        <v>4</v>
      </c>
      <c r="R12" s="9">
        <v>3</v>
      </c>
      <c r="S12" s="9">
        <v>8</v>
      </c>
      <c r="T12" s="9">
        <v>4</v>
      </c>
      <c r="U12" s="9">
        <v>3</v>
      </c>
      <c r="V12" s="9">
        <v>4</v>
      </c>
      <c r="W12" s="9">
        <v>4</v>
      </c>
      <c r="X12" s="9">
        <v>2</v>
      </c>
      <c r="Y12" s="11">
        <f t="shared" si="0"/>
        <v>2.1666666666666665</v>
      </c>
      <c r="Z12" s="11">
        <f t="shared" si="1"/>
        <v>2.3333333333333335</v>
      </c>
      <c r="AA12" s="13">
        <f t="shared" si="2"/>
        <v>4.4000000000000004</v>
      </c>
    </row>
    <row r="13" spans="1:27" x14ac:dyDescent="0.25">
      <c r="A13" s="7">
        <v>46096.306631944448</v>
      </c>
      <c r="B13" t="s">
        <v>67</v>
      </c>
      <c r="C13" s="2">
        <v>3</v>
      </c>
      <c r="D13" s="2">
        <v>2</v>
      </c>
      <c r="E13" s="2">
        <v>4</v>
      </c>
      <c r="F13" s="2">
        <v>3</v>
      </c>
      <c r="G13" s="2">
        <v>3</v>
      </c>
      <c r="H13" s="2">
        <v>1</v>
      </c>
      <c r="I13" s="8">
        <v>1</v>
      </c>
      <c r="J13" s="8">
        <v>3</v>
      </c>
      <c r="K13" s="8">
        <v>5</v>
      </c>
      <c r="L13" s="8">
        <v>3</v>
      </c>
      <c r="M13" s="8">
        <v>2</v>
      </c>
      <c r="N13" s="8">
        <v>1</v>
      </c>
      <c r="O13" s="9">
        <v>4</v>
      </c>
      <c r="P13" s="9">
        <v>2</v>
      </c>
      <c r="Q13" s="9">
        <v>3</v>
      </c>
      <c r="R13" s="9">
        <v>5</v>
      </c>
      <c r="S13" s="9">
        <v>7</v>
      </c>
      <c r="T13" s="9">
        <v>5</v>
      </c>
      <c r="U13" s="9">
        <v>2</v>
      </c>
      <c r="V13" s="9">
        <v>4</v>
      </c>
      <c r="W13" s="9">
        <v>2</v>
      </c>
      <c r="X13" s="9">
        <v>5</v>
      </c>
      <c r="Y13" s="10">
        <f t="shared" si="0"/>
        <v>2.6666666666666665</v>
      </c>
      <c r="Z13" s="10">
        <f t="shared" si="1"/>
        <v>2.5</v>
      </c>
      <c r="AA13" s="12">
        <f t="shared" si="2"/>
        <v>3.9</v>
      </c>
    </row>
    <row r="14" spans="1:27" x14ac:dyDescent="0.25">
      <c r="A14" s="7">
        <v>46096.407465277778</v>
      </c>
      <c r="B14" t="s">
        <v>71</v>
      </c>
      <c r="C14" s="2">
        <v>2</v>
      </c>
      <c r="D14" s="2">
        <v>3</v>
      </c>
      <c r="E14" s="2">
        <v>3</v>
      </c>
      <c r="F14" s="2">
        <v>3</v>
      </c>
      <c r="G14" s="2">
        <v>1</v>
      </c>
      <c r="H14" s="2">
        <v>2</v>
      </c>
      <c r="I14" s="8">
        <v>1</v>
      </c>
      <c r="J14" s="8">
        <v>5</v>
      </c>
      <c r="K14" s="8">
        <v>1</v>
      </c>
      <c r="L14" s="8">
        <v>1</v>
      </c>
      <c r="M14" s="8">
        <v>2</v>
      </c>
      <c r="N14" s="8">
        <v>4</v>
      </c>
      <c r="O14" s="9">
        <v>5</v>
      </c>
      <c r="P14" s="9">
        <v>2</v>
      </c>
      <c r="Q14" s="9">
        <v>5</v>
      </c>
      <c r="R14" s="9">
        <v>4</v>
      </c>
      <c r="S14" s="9">
        <v>4</v>
      </c>
      <c r="T14" s="9">
        <v>2</v>
      </c>
      <c r="U14" s="9">
        <v>3</v>
      </c>
      <c r="V14" s="9">
        <v>4</v>
      </c>
      <c r="W14" s="9">
        <v>3</v>
      </c>
      <c r="X14" s="9">
        <v>4</v>
      </c>
      <c r="Y14" s="11">
        <f t="shared" si="0"/>
        <v>2.3333333333333335</v>
      </c>
      <c r="Z14" s="11">
        <f t="shared" si="1"/>
        <v>2.3333333333333335</v>
      </c>
      <c r="AA14" s="13">
        <f t="shared" si="2"/>
        <v>3.6</v>
      </c>
    </row>
    <row r="15" spans="1:27" x14ac:dyDescent="0.25">
      <c r="A15" s="7">
        <v>46096.409201388888</v>
      </c>
      <c r="B15" t="s">
        <v>75</v>
      </c>
      <c r="C15" s="2">
        <v>1</v>
      </c>
      <c r="D15" s="2">
        <v>2</v>
      </c>
      <c r="E15" s="2">
        <v>3</v>
      </c>
      <c r="F15" s="2">
        <v>2</v>
      </c>
      <c r="G15" s="2">
        <v>2</v>
      </c>
      <c r="H15" s="2">
        <v>3</v>
      </c>
      <c r="I15" s="8">
        <v>3</v>
      </c>
      <c r="J15" s="8">
        <v>3</v>
      </c>
      <c r="K15" s="8">
        <v>3</v>
      </c>
      <c r="L15" s="8">
        <v>2</v>
      </c>
      <c r="M15" s="8">
        <v>3</v>
      </c>
      <c r="N15" s="8">
        <v>2</v>
      </c>
      <c r="O15" s="9">
        <v>5</v>
      </c>
      <c r="P15" s="9">
        <v>4</v>
      </c>
      <c r="Q15" s="9">
        <v>2</v>
      </c>
      <c r="R15" s="9">
        <v>3</v>
      </c>
      <c r="S15" s="9">
        <v>4</v>
      </c>
      <c r="T15" s="9">
        <v>2</v>
      </c>
      <c r="U15" s="9">
        <v>3</v>
      </c>
      <c r="V15" s="9">
        <v>4</v>
      </c>
      <c r="W15" s="9">
        <v>5</v>
      </c>
      <c r="X15" s="9">
        <v>5</v>
      </c>
      <c r="Y15" s="10">
        <f t="shared" si="0"/>
        <v>2.1666666666666665</v>
      </c>
      <c r="Z15" s="10">
        <f t="shared" si="1"/>
        <v>2.6666666666666665</v>
      </c>
      <c r="AA15" s="12">
        <f t="shared" si="2"/>
        <v>3.7</v>
      </c>
    </row>
    <row r="16" spans="1:27" x14ac:dyDescent="0.25">
      <c r="A16" s="7">
        <v>46096.43409722222</v>
      </c>
      <c r="B16" t="s">
        <v>79</v>
      </c>
      <c r="C16" s="2">
        <v>1</v>
      </c>
      <c r="D16" s="2">
        <v>1</v>
      </c>
      <c r="E16" s="2">
        <v>3</v>
      </c>
      <c r="F16" s="2">
        <v>2</v>
      </c>
      <c r="G16" s="2">
        <v>1</v>
      </c>
      <c r="H16" s="2">
        <v>3</v>
      </c>
      <c r="I16" s="8">
        <v>3</v>
      </c>
      <c r="J16" s="8">
        <v>1</v>
      </c>
      <c r="K16" s="8">
        <v>1</v>
      </c>
      <c r="L16" s="8">
        <v>3</v>
      </c>
      <c r="M16" s="8">
        <v>3</v>
      </c>
      <c r="N16" s="8">
        <v>3</v>
      </c>
      <c r="O16" s="9">
        <v>4</v>
      </c>
      <c r="P16" s="9">
        <v>5</v>
      </c>
      <c r="Q16" s="9">
        <v>5</v>
      </c>
      <c r="R16" s="9">
        <v>5</v>
      </c>
      <c r="S16" s="9">
        <v>5</v>
      </c>
      <c r="T16" s="9">
        <v>5</v>
      </c>
      <c r="U16" s="9">
        <v>6</v>
      </c>
      <c r="V16" s="9">
        <v>7</v>
      </c>
      <c r="W16" s="9">
        <v>4</v>
      </c>
      <c r="X16" s="9">
        <v>3</v>
      </c>
      <c r="Y16" s="11">
        <f t="shared" si="0"/>
        <v>1.8333333333333333</v>
      </c>
      <c r="Z16" s="11">
        <f t="shared" si="1"/>
        <v>2.3333333333333335</v>
      </c>
      <c r="AA16" s="13">
        <f t="shared" si="2"/>
        <v>4.9000000000000004</v>
      </c>
    </row>
    <row r="17" spans="1:27" x14ac:dyDescent="0.25">
      <c r="A17" s="7">
        <v>46096.439791666664</v>
      </c>
      <c r="B17" t="s">
        <v>83</v>
      </c>
      <c r="C17" s="2">
        <v>1</v>
      </c>
      <c r="D17" s="2">
        <v>2</v>
      </c>
      <c r="E17" s="2">
        <v>3</v>
      </c>
      <c r="F17" s="2">
        <v>2</v>
      </c>
      <c r="G17" s="2">
        <v>2</v>
      </c>
      <c r="H17" s="2">
        <v>1</v>
      </c>
      <c r="I17" s="8">
        <v>3</v>
      </c>
      <c r="J17" s="8">
        <v>1</v>
      </c>
      <c r="K17" s="8">
        <v>2</v>
      </c>
      <c r="L17" s="8">
        <v>3</v>
      </c>
      <c r="M17" s="8">
        <v>2</v>
      </c>
      <c r="N17" s="8">
        <v>2</v>
      </c>
      <c r="O17" s="9">
        <v>5</v>
      </c>
      <c r="P17" s="9">
        <v>4</v>
      </c>
      <c r="Q17" s="9">
        <v>4</v>
      </c>
      <c r="R17" s="9">
        <v>3</v>
      </c>
      <c r="S17" s="9">
        <v>5</v>
      </c>
      <c r="T17" s="9">
        <v>4</v>
      </c>
      <c r="U17" s="9">
        <v>5</v>
      </c>
      <c r="V17" s="9">
        <v>2</v>
      </c>
      <c r="W17" s="9">
        <v>5</v>
      </c>
      <c r="X17" s="9">
        <v>3</v>
      </c>
      <c r="Y17" s="10">
        <f t="shared" si="0"/>
        <v>1.8333333333333333</v>
      </c>
      <c r="Z17" s="10">
        <f t="shared" si="1"/>
        <v>2.1666666666666665</v>
      </c>
      <c r="AA17" s="12">
        <f t="shared" si="2"/>
        <v>4</v>
      </c>
    </row>
    <row r="18" spans="1:27" x14ac:dyDescent="0.25">
      <c r="A18" s="7">
        <v>46096.652141203704</v>
      </c>
      <c r="B18" t="s">
        <v>84</v>
      </c>
      <c r="C18" s="2">
        <v>2</v>
      </c>
      <c r="D18" s="2">
        <v>4</v>
      </c>
      <c r="E18" s="2">
        <v>2</v>
      </c>
      <c r="F18" s="2">
        <v>1</v>
      </c>
      <c r="G18" s="2">
        <v>2</v>
      </c>
      <c r="H18" s="2">
        <v>1</v>
      </c>
      <c r="I18" s="8">
        <v>2</v>
      </c>
      <c r="J18" s="8">
        <v>2</v>
      </c>
      <c r="K18" s="8">
        <v>3</v>
      </c>
      <c r="L18" s="8">
        <v>2</v>
      </c>
      <c r="M18" s="8">
        <v>2</v>
      </c>
      <c r="N18" s="8">
        <v>3</v>
      </c>
      <c r="O18" s="9">
        <v>5</v>
      </c>
      <c r="P18" s="9">
        <v>5</v>
      </c>
      <c r="Q18" s="9">
        <v>4</v>
      </c>
      <c r="R18" s="9">
        <v>4</v>
      </c>
      <c r="S18" s="9">
        <v>6</v>
      </c>
      <c r="T18" s="9">
        <v>2</v>
      </c>
      <c r="U18" s="9">
        <v>6</v>
      </c>
      <c r="V18" s="9">
        <v>3</v>
      </c>
      <c r="W18" s="9">
        <v>7</v>
      </c>
      <c r="X18" s="9">
        <v>2</v>
      </c>
      <c r="Y18" s="11">
        <f t="shared" si="0"/>
        <v>2</v>
      </c>
      <c r="Z18" s="11">
        <f t="shared" si="1"/>
        <v>2.3333333333333335</v>
      </c>
      <c r="AA18" s="13">
        <f t="shared" si="2"/>
        <v>4.4000000000000004</v>
      </c>
    </row>
    <row r="19" spans="1:27" x14ac:dyDescent="0.25">
      <c r="A19" s="7">
        <v>46096.655335648145</v>
      </c>
      <c r="B19" t="s">
        <v>87</v>
      </c>
      <c r="C19" s="2">
        <v>1</v>
      </c>
      <c r="D19" s="2">
        <v>2</v>
      </c>
      <c r="E19" s="2">
        <v>3</v>
      </c>
      <c r="F19" s="2">
        <v>2</v>
      </c>
      <c r="G19" s="2">
        <v>1</v>
      </c>
      <c r="H19" s="2">
        <v>1</v>
      </c>
      <c r="I19" s="8">
        <v>2</v>
      </c>
      <c r="J19" s="8">
        <v>3</v>
      </c>
      <c r="K19" s="8">
        <v>4</v>
      </c>
      <c r="L19" s="8">
        <v>2</v>
      </c>
      <c r="M19" s="8">
        <v>1</v>
      </c>
      <c r="N19" s="8">
        <v>1</v>
      </c>
      <c r="O19" s="9">
        <v>5</v>
      </c>
      <c r="P19" s="9">
        <v>4</v>
      </c>
      <c r="Q19" s="9">
        <v>6</v>
      </c>
      <c r="R19" s="9">
        <v>4</v>
      </c>
      <c r="S19" s="9">
        <v>8</v>
      </c>
      <c r="T19" s="9">
        <v>2</v>
      </c>
      <c r="U19" s="9">
        <v>4</v>
      </c>
      <c r="V19" s="9">
        <v>5</v>
      </c>
      <c r="W19" s="9">
        <v>4</v>
      </c>
      <c r="X19" s="9">
        <v>3</v>
      </c>
      <c r="Y19" s="10">
        <f t="shared" si="0"/>
        <v>1.6666666666666667</v>
      </c>
      <c r="Z19" s="10">
        <f t="shared" si="1"/>
        <v>2.1666666666666665</v>
      </c>
      <c r="AA19" s="12">
        <f t="shared" si="2"/>
        <v>4.5</v>
      </c>
    </row>
    <row r="20" spans="1:27" x14ac:dyDescent="0.25">
      <c r="A20" s="7">
        <v>46096.797812500001</v>
      </c>
      <c r="B20" t="s">
        <v>91</v>
      </c>
      <c r="C20" s="2">
        <v>1</v>
      </c>
      <c r="D20" s="2">
        <v>3</v>
      </c>
      <c r="E20" s="2">
        <v>3</v>
      </c>
      <c r="F20" s="2">
        <v>1</v>
      </c>
      <c r="G20" s="2">
        <v>2</v>
      </c>
      <c r="H20" s="2">
        <v>1</v>
      </c>
      <c r="I20" s="8">
        <v>3</v>
      </c>
      <c r="J20" s="8">
        <v>2</v>
      </c>
      <c r="K20" s="8">
        <v>1</v>
      </c>
      <c r="L20" s="8">
        <v>3</v>
      </c>
      <c r="M20" s="8">
        <v>1</v>
      </c>
      <c r="N20" s="8">
        <v>3</v>
      </c>
      <c r="O20" s="9">
        <v>8</v>
      </c>
      <c r="P20" s="9">
        <v>5</v>
      </c>
      <c r="Q20" s="9">
        <v>4</v>
      </c>
      <c r="R20" s="9">
        <v>5</v>
      </c>
      <c r="S20" s="9">
        <v>7</v>
      </c>
      <c r="T20" s="9">
        <v>2</v>
      </c>
      <c r="U20" s="9">
        <v>4</v>
      </c>
      <c r="V20" s="9">
        <v>4</v>
      </c>
      <c r="W20" s="9">
        <v>3</v>
      </c>
      <c r="X20" s="9">
        <v>5</v>
      </c>
      <c r="Y20" s="11">
        <f t="shared" si="0"/>
        <v>1.8333333333333333</v>
      </c>
      <c r="Z20" s="11">
        <f t="shared" si="1"/>
        <v>2.1666666666666665</v>
      </c>
      <c r="AA20" s="13">
        <f t="shared" si="2"/>
        <v>4.7</v>
      </c>
    </row>
    <row r="21" spans="1:27" x14ac:dyDescent="0.25">
      <c r="A21" s="7">
        <v>46096.803946759261</v>
      </c>
      <c r="B21" t="s">
        <v>94</v>
      </c>
      <c r="C21" s="2">
        <v>2</v>
      </c>
      <c r="D21" s="2">
        <v>2</v>
      </c>
      <c r="E21" s="2">
        <v>2</v>
      </c>
      <c r="F21" s="2">
        <v>1</v>
      </c>
      <c r="G21" s="2">
        <v>2</v>
      </c>
      <c r="H21" s="2">
        <v>1</v>
      </c>
      <c r="I21" s="8">
        <v>1</v>
      </c>
      <c r="J21" s="8">
        <v>1</v>
      </c>
      <c r="K21" s="8">
        <v>3</v>
      </c>
      <c r="L21" s="8">
        <v>2</v>
      </c>
      <c r="M21" s="8">
        <v>3</v>
      </c>
      <c r="N21" s="8">
        <v>1</v>
      </c>
      <c r="O21" s="9">
        <v>4</v>
      </c>
      <c r="P21" s="9">
        <v>3</v>
      </c>
      <c r="Q21" s="9">
        <v>2</v>
      </c>
      <c r="R21" s="9">
        <v>3</v>
      </c>
      <c r="S21" s="9">
        <v>7</v>
      </c>
      <c r="T21" s="9">
        <v>3</v>
      </c>
      <c r="U21" s="9">
        <v>3</v>
      </c>
      <c r="V21" s="9">
        <v>3</v>
      </c>
      <c r="W21" s="9">
        <v>8</v>
      </c>
      <c r="X21" s="9">
        <v>4</v>
      </c>
      <c r="Y21" s="10">
        <f t="shared" si="0"/>
        <v>1.6666666666666667</v>
      </c>
      <c r="Z21" s="10">
        <f t="shared" si="1"/>
        <v>1.8333333333333333</v>
      </c>
      <c r="AA21" s="12">
        <f t="shared" si="2"/>
        <v>4</v>
      </c>
    </row>
    <row r="22" spans="1:27" x14ac:dyDescent="0.25">
      <c r="A22" s="7">
        <v>46096.806354166663</v>
      </c>
      <c r="B22" t="s">
        <v>98</v>
      </c>
      <c r="C22" s="2">
        <v>2</v>
      </c>
      <c r="D22" s="2">
        <v>2</v>
      </c>
      <c r="E22" s="2">
        <v>1</v>
      </c>
      <c r="F22" s="2">
        <v>3</v>
      </c>
      <c r="G22" s="2">
        <v>2</v>
      </c>
      <c r="H22" s="2">
        <v>3</v>
      </c>
      <c r="I22" s="8">
        <v>2</v>
      </c>
      <c r="J22" s="8">
        <v>3</v>
      </c>
      <c r="K22" s="8">
        <v>3</v>
      </c>
      <c r="L22" s="8">
        <v>4</v>
      </c>
      <c r="M22" s="8">
        <v>3</v>
      </c>
      <c r="N22" s="8">
        <v>2</v>
      </c>
      <c r="O22" s="9">
        <v>9</v>
      </c>
      <c r="P22" s="9">
        <v>4</v>
      </c>
      <c r="Q22" s="9">
        <v>2</v>
      </c>
      <c r="R22" s="9">
        <v>5</v>
      </c>
      <c r="S22" s="9">
        <v>6</v>
      </c>
      <c r="T22" s="9">
        <v>3</v>
      </c>
      <c r="U22" s="9">
        <v>3</v>
      </c>
      <c r="V22" s="9">
        <v>7</v>
      </c>
      <c r="W22" s="9">
        <v>4</v>
      </c>
      <c r="X22" s="9">
        <v>4</v>
      </c>
      <c r="Y22" s="11">
        <f t="shared" si="0"/>
        <v>2.1666666666666665</v>
      </c>
      <c r="Z22" s="11">
        <f t="shared" si="1"/>
        <v>2.8333333333333335</v>
      </c>
      <c r="AA22" s="13">
        <f t="shared" si="2"/>
        <v>4.7</v>
      </c>
    </row>
    <row r="23" spans="1:27" x14ac:dyDescent="0.25">
      <c r="A23" s="7">
        <v>46096.806620370371</v>
      </c>
      <c r="B23" t="s">
        <v>102</v>
      </c>
      <c r="C23" s="2">
        <v>2</v>
      </c>
      <c r="D23" s="2">
        <v>3</v>
      </c>
      <c r="E23" s="2">
        <v>2</v>
      </c>
      <c r="F23" s="2">
        <v>3</v>
      </c>
      <c r="G23" s="2">
        <v>2</v>
      </c>
      <c r="H23" s="2">
        <v>3</v>
      </c>
      <c r="I23" s="8">
        <v>2</v>
      </c>
      <c r="J23" s="8">
        <v>1</v>
      </c>
      <c r="K23" s="8">
        <v>2</v>
      </c>
      <c r="L23" s="8">
        <v>1</v>
      </c>
      <c r="M23" s="8">
        <v>3</v>
      </c>
      <c r="N23" s="8">
        <v>3</v>
      </c>
      <c r="O23" s="9">
        <v>9</v>
      </c>
      <c r="P23" s="9">
        <v>2</v>
      </c>
      <c r="Q23" s="9">
        <v>2</v>
      </c>
      <c r="R23" s="9">
        <v>4</v>
      </c>
      <c r="S23" s="9">
        <v>5</v>
      </c>
      <c r="T23" s="9">
        <v>5</v>
      </c>
      <c r="U23" s="9">
        <v>6</v>
      </c>
      <c r="V23" s="9">
        <v>2</v>
      </c>
      <c r="W23" s="9">
        <v>5</v>
      </c>
      <c r="X23" s="9">
        <v>4</v>
      </c>
      <c r="Y23" s="10">
        <f t="shared" si="0"/>
        <v>2.5</v>
      </c>
      <c r="Z23" s="10">
        <f t="shared" si="1"/>
        <v>2</v>
      </c>
      <c r="AA23" s="12">
        <f t="shared" si="2"/>
        <v>4.4000000000000004</v>
      </c>
    </row>
    <row r="24" spans="1:27" x14ac:dyDescent="0.25">
      <c r="A24" s="7">
        <v>46096.808194444442</v>
      </c>
      <c r="B24" t="s">
        <v>105</v>
      </c>
      <c r="C24" s="2">
        <v>1</v>
      </c>
      <c r="D24" s="2">
        <v>2</v>
      </c>
      <c r="E24" s="2">
        <v>3</v>
      </c>
      <c r="F24" s="2">
        <v>2</v>
      </c>
      <c r="G24" s="2">
        <v>1</v>
      </c>
      <c r="H24" s="2">
        <v>1</v>
      </c>
      <c r="I24" s="8">
        <v>2</v>
      </c>
      <c r="J24" s="8">
        <v>3</v>
      </c>
      <c r="K24" s="8">
        <v>5</v>
      </c>
      <c r="L24" s="8">
        <v>3</v>
      </c>
      <c r="M24" s="8">
        <v>2</v>
      </c>
      <c r="N24" s="8">
        <v>2</v>
      </c>
      <c r="O24" s="9">
        <v>5</v>
      </c>
      <c r="P24" s="9">
        <v>2</v>
      </c>
      <c r="Q24" s="9">
        <v>5</v>
      </c>
      <c r="R24" s="9">
        <v>5</v>
      </c>
      <c r="S24" s="9">
        <v>3</v>
      </c>
      <c r="T24" s="9">
        <v>2</v>
      </c>
      <c r="U24" s="9">
        <v>4</v>
      </c>
      <c r="V24" s="9">
        <v>5</v>
      </c>
      <c r="W24" s="9">
        <v>3</v>
      </c>
      <c r="X24" s="9">
        <v>2</v>
      </c>
      <c r="Y24" s="11">
        <f t="shared" si="0"/>
        <v>1.6666666666666667</v>
      </c>
      <c r="Z24" s="11">
        <f t="shared" si="1"/>
        <v>2.8333333333333335</v>
      </c>
      <c r="AA24" s="13">
        <f t="shared" si="2"/>
        <v>3.6</v>
      </c>
    </row>
    <row r="25" spans="1:27" x14ac:dyDescent="0.25">
      <c r="A25" s="7">
        <v>46096.813009259262</v>
      </c>
      <c r="B25" t="s">
        <v>109</v>
      </c>
      <c r="C25" s="2">
        <v>2</v>
      </c>
      <c r="D25" s="2">
        <v>1</v>
      </c>
      <c r="E25" s="2">
        <v>1</v>
      </c>
      <c r="F25" s="2">
        <v>3</v>
      </c>
      <c r="G25" s="2">
        <v>1</v>
      </c>
      <c r="H25" s="2">
        <v>2</v>
      </c>
      <c r="I25" s="8">
        <v>3</v>
      </c>
      <c r="J25" s="8">
        <v>3</v>
      </c>
      <c r="K25" s="8">
        <v>3</v>
      </c>
      <c r="L25" s="8">
        <v>2</v>
      </c>
      <c r="M25" s="8">
        <v>1</v>
      </c>
      <c r="N25" s="8">
        <v>2</v>
      </c>
      <c r="O25" s="9">
        <v>3</v>
      </c>
      <c r="P25" s="9">
        <v>3</v>
      </c>
      <c r="Q25" s="9">
        <v>3</v>
      </c>
      <c r="R25" s="9">
        <v>2</v>
      </c>
      <c r="S25" s="9">
        <v>5</v>
      </c>
      <c r="T25" s="9">
        <v>3</v>
      </c>
      <c r="U25" s="9">
        <v>4</v>
      </c>
      <c r="V25" s="9">
        <v>3</v>
      </c>
      <c r="W25" s="9">
        <v>2</v>
      </c>
      <c r="X25" s="9">
        <v>5</v>
      </c>
      <c r="Y25" s="10">
        <f t="shared" si="0"/>
        <v>1.6666666666666667</v>
      </c>
      <c r="Z25" s="10">
        <f t="shared" si="1"/>
        <v>2.3333333333333335</v>
      </c>
      <c r="AA25" s="12">
        <f t="shared" si="2"/>
        <v>3.3</v>
      </c>
    </row>
    <row r="26" spans="1:27" x14ac:dyDescent="0.25">
      <c r="A26" s="7">
        <v>46096.813240740739</v>
      </c>
      <c r="B26" t="s">
        <v>113</v>
      </c>
      <c r="C26" s="2">
        <v>1</v>
      </c>
      <c r="D26" s="2">
        <v>1</v>
      </c>
      <c r="E26" s="2">
        <v>1</v>
      </c>
      <c r="F26" s="2">
        <v>2</v>
      </c>
      <c r="G26" s="2">
        <v>3</v>
      </c>
      <c r="H26" s="2">
        <v>1</v>
      </c>
      <c r="I26" s="8">
        <v>2</v>
      </c>
      <c r="J26" s="8">
        <v>3</v>
      </c>
      <c r="K26" s="8">
        <v>2</v>
      </c>
      <c r="L26" s="8">
        <v>3</v>
      </c>
      <c r="M26" s="8">
        <v>1</v>
      </c>
      <c r="N26" s="8">
        <v>1</v>
      </c>
      <c r="O26" s="9">
        <v>2</v>
      </c>
      <c r="P26" s="9">
        <v>3</v>
      </c>
      <c r="Q26" s="9">
        <v>5</v>
      </c>
      <c r="R26" s="9">
        <v>2</v>
      </c>
      <c r="S26" s="9">
        <v>5</v>
      </c>
      <c r="T26" s="9">
        <v>7</v>
      </c>
      <c r="U26" s="9">
        <v>8</v>
      </c>
      <c r="V26" s="9">
        <v>8</v>
      </c>
      <c r="W26" s="9">
        <v>4</v>
      </c>
      <c r="X26" s="9">
        <v>5</v>
      </c>
      <c r="Y26" s="11">
        <f t="shared" si="0"/>
        <v>1.5</v>
      </c>
      <c r="Z26" s="11">
        <f t="shared" si="1"/>
        <v>2</v>
      </c>
      <c r="AA26" s="13">
        <f t="shared" si="2"/>
        <v>4.9000000000000004</v>
      </c>
    </row>
    <row r="27" spans="1:27" x14ac:dyDescent="0.25">
      <c r="A27" s="7">
        <v>46096.820277777777</v>
      </c>
      <c r="B27" t="s">
        <v>114</v>
      </c>
      <c r="C27" s="2">
        <v>3</v>
      </c>
      <c r="D27" s="2">
        <v>1</v>
      </c>
      <c r="E27" s="2">
        <v>3</v>
      </c>
      <c r="F27" s="2">
        <v>2</v>
      </c>
      <c r="G27" s="2">
        <v>3</v>
      </c>
      <c r="H27" s="2">
        <v>1</v>
      </c>
      <c r="I27" s="8">
        <v>2</v>
      </c>
      <c r="J27" s="8">
        <v>2</v>
      </c>
      <c r="K27" s="8">
        <v>3</v>
      </c>
      <c r="L27" s="8">
        <v>3</v>
      </c>
      <c r="M27" s="8">
        <v>2</v>
      </c>
      <c r="N27" s="8">
        <v>3</v>
      </c>
      <c r="O27" s="9">
        <v>5</v>
      </c>
      <c r="P27" s="9">
        <v>4</v>
      </c>
      <c r="Q27" s="9">
        <v>3</v>
      </c>
      <c r="R27" s="9">
        <v>5</v>
      </c>
      <c r="S27" s="9">
        <v>3</v>
      </c>
      <c r="T27" s="9">
        <v>4</v>
      </c>
      <c r="U27" s="9">
        <v>4</v>
      </c>
      <c r="V27" s="9">
        <v>5</v>
      </c>
      <c r="W27" s="9">
        <v>5</v>
      </c>
      <c r="X27" s="9">
        <v>3</v>
      </c>
      <c r="Y27" s="10">
        <f t="shared" si="0"/>
        <v>2.1666666666666665</v>
      </c>
      <c r="Z27" s="10">
        <f t="shared" si="1"/>
        <v>2.5</v>
      </c>
      <c r="AA27" s="12">
        <f t="shared" si="2"/>
        <v>4.0999999999999996</v>
      </c>
    </row>
    <row r="28" spans="1:27" x14ac:dyDescent="0.25">
      <c r="A28" s="7">
        <v>46096.822777777779</v>
      </c>
      <c r="B28" t="s">
        <v>118</v>
      </c>
      <c r="C28" s="2">
        <v>3</v>
      </c>
      <c r="D28" s="2">
        <v>2</v>
      </c>
      <c r="E28" s="2">
        <v>3</v>
      </c>
      <c r="F28" s="2">
        <v>2</v>
      </c>
      <c r="G28" s="2">
        <v>3</v>
      </c>
      <c r="H28" s="2">
        <v>2</v>
      </c>
      <c r="I28" s="8">
        <v>1</v>
      </c>
      <c r="J28" s="8">
        <v>1</v>
      </c>
      <c r="K28" s="8">
        <v>4</v>
      </c>
      <c r="L28" s="8">
        <v>1</v>
      </c>
      <c r="M28" s="8">
        <v>2</v>
      </c>
      <c r="N28" s="8">
        <v>1</v>
      </c>
      <c r="O28" s="9">
        <v>2</v>
      </c>
      <c r="P28" s="9">
        <v>3</v>
      </c>
      <c r="Q28" s="9">
        <v>3</v>
      </c>
      <c r="R28" s="9">
        <v>3</v>
      </c>
      <c r="S28" s="9">
        <v>5</v>
      </c>
      <c r="T28" s="9">
        <v>3</v>
      </c>
      <c r="U28" s="9">
        <v>3</v>
      </c>
      <c r="V28" s="9">
        <v>4</v>
      </c>
      <c r="W28" s="9">
        <v>2</v>
      </c>
      <c r="X28" s="9">
        <v>3</v>
      </c>
      <c r="Y28" s="11">
        <f t="shared" si="0"/>
        <v>2.5</v>
      </c>
      <c r="Z28" s="11">
        <f t="shared" si="1"/>
        <v>1.6666666666666667</v>
      </c>
      <c r="AA28" s="13">
        <f t="shared" si="2"/>
        <v>3.1</v>
      </c>
    </row>
    <row r="29" spans="1:27" x14ac:dyDescent="0.25">
      <c r="A29" s="7">
        <v>46096.840821759259</v>
      </c>
      <c r="B29" t="s">
        <v>122</v>
      </c>
      <c r="C29" s="2">
        <v>1</v>
      </c>
      <c r="D29" s="2">
        <v>1</v>
      </c>
      <c r="E29" s="2">
        <v>1</v>
      </c>
      <c r="F29" s="2">
        <v>1</v>
      </c>
      <c r="G29" s="2">
        <v>3</v>
      </c>
      <c r="H29" s="2">
        <v>2</v>
      </c>
      <c r="I29" s="8">
        <v>2</v>
      </c>
      <c r="J29" s="8">
        <v>2</v>
      </c>
      <c r="K29" s="8">
        <v>2</v>
      </c>
      <c r="L29" s="8">
        <v>1</v>
      </c>
      <c r="M29" s="8">
        <v>1</v>
      </c>
      <c r="N29" s="8">
        <v>3</v>
      </c>
      <c r="O29" s="9">
        <v>5</v>
      </c>
      <c r="P29" s="9">
        <v>3</v>
      </c>
      <c r="Q29" s="9">
        <v>5</v>
      </c>
      <c r="R29" s="9">
        <v>3</v>
      </c>
      <c r="S29" s="9">
        <v>4</v>
      </c>
      <c r="T29" s="9">
        <v>2</v>
      </c>
      <c r="U29" s="9">
        <v>4</v>
      </c>
      <c r="V29" s="9">
        <v>3</v>
      </c>
      <c r="W29" s="9">
        <v>4</v>
      </c>
      <c r="X29" s="9">
        <v>3</v>
      </c>
      <c r="Y29" s="10">
        <f t="shared" si="0"/>
        <v>1.5</v>
      </c>
      <c r="Z29" s="10">
        <f t="shared" si="1"/>
        <v>1.8333333333333333</v>
      </c>
      <c r="AA29" s="12">
        <f t="shared" si="2"/>
        <v>3.6</v>
      </c>
    </row>
    <row r="30" spans="1:27" x14ac:dyDescent="0.25">
      <c r="A30" s="7">
        <v>46096.849675925929</v>
      </c>
      <c r="B30" t="s">
        <v>126</v>
      </c>
      <c r="C30" s="2">
        <v>3</v>
      </c>
      <c r="D30" s="2">
        <v>3</v>
      </c>
      <c r="E30" s="2">
        <v>3</v>
      </c>
      <c r="F30" s="2">
        <v>1</v>
      </c>
      <c r="G30" s="2">
        <v>2</v>
      </c>
      <c r="H30" s="2">
        <v>2</v>
      </c>
      <c r="I30" s="8">
        <v>1</v>
      </c>
      <c r="J30" s="8">
        <v>3</v>
      </c>
      <c r="K30" s="8">
        <v>3</v>
      </c>
      <c r="L30" s="8">
        <v>3</v>
      </c>
      <c r="M30" s="8">
        <v>2</v>
      </c>
      <c r="N30" s="8">
        <v>2</v>
      </c>
      <c r="O30" s="9">
        <v>5</v>
      </c>
      <c r="P30" s="9">
        <v>3</v>
      </c>
      <c r="Q30" s="9">
        <v>3</v>
      </c>
      <c r="R30" s="9">
        <v>3</v>
      </c>
      <c r="S30" s="9">
        <v>4</v>
      </c>
      <c r="T30" s="9">
        <v>7</v>
      </c>
      <c r="U30" s="9">
        <v>2</v>
      </c>
      <c r="V30" s="9">
        <v>5</v>
      </c>
      <c r="W30" s="9">
        <v>3</v>
      </c>
      <c r="X30" s="9">
        <v>4</v>
      </c>
      <c r="Y30" s="11">
        <f t="shared" si="0"/>
        <v>2.3333333333333335</v>
      </c>
      <c r="Z30" s="11">
        <f t="shared" si="1"/>
        <v>2.3333333333333335</v>
      </c>
      <c r="AA30" s="13">
        <f t="shared" si="2"/>
        <v>3.9</v>
      </c>
    </row>
    <row r="31" spans="1:27" x14ac:dyDescent="0.25">
      <c r="A31" s="7">
        <v>46096.869305555556</v>
      </c>
      <c r="B31" t="s">
        <v>130</v>
      </c>
      <c r="C31" s="2">
        <v>2</v>
      </c>
      <c r="D31" s="2">
        <v>2</v>
      </c>
      <c r="E31" s="2">
        <v>3</v>
      </c>
      <c r="F31" s="2">
        <v>4</v>
      </c>
      <c r="G31" s="2">
        <v>3</v>
      </c>
      <c r="H31" s="2">
        <v>3</v>
      </c>
      <c r="I31" s="8">
        <v>3</v>
      </c>
      <c r="J31" s="8">
        <v>2</v>
      </c>
      <c r="K31" s="8">
        <v>1</v>
      </c>
      <c r="L31" s="8">
        <v>2</v>
      </c>
      <c r="M31" s="8">
        <v>2</v>
      </c>
      <c r="N31" s="8">
        <v>3</v>
      </c>
      <c r="O31" s="9">
        <v>2</v>
      </c>
      <c r="P31" s="9">
        <v>5</v>
      </c>
      <c r="Q31" s="9">
        <v>4</v>
      </c>
      <c r="R31" s="9">
        <v>6</v>
      </c>
      <c r="S31" s="9">
        <v>4</v>
      </c>
      <c r="T31" s="9">
        <v>7</v>
      </c>
      <c r="U31" s="9">
        <v>5</v>
      </c>
      <c r="V31" s="9">
        <v>3</v>
      </c>
      <c r="W31" s="9">
        <v>5</v>
      </c>
      <c r="X31" s="9">
        <v>3</v>
      </c>
      <c r="Y31" s="10">
        <f t="shared" si="0"/>
        <v>2.8333333333333335</v>
      </c>
      <c r="Z31" s="10">
        <f t="shared" si="1"/>
        <v>2.1666666666666665</v>
      </c>
      <c r="AA31" s="12">
        <f t="shared" si="2"/>
        <v>4.4000000000000004</v>
      </c>
    </row>
    <row r="32" spans="1:27" x14ac:dyDescent="0.25">
      <c r="A32" s="7">
        <v>46096.895196759258</v>
      </c>
      <c r="B32" t="s">
        <v>134</v>
      </c>
      <c r="C32" s="2">
        <v>2</v>
      </c>
      <c r="D32" s="2">
        <v>1</v>
      </c>
      <c r="E32" s="2">
        <v>3</v>
      </c>
      <c r="F32" s="2">
        <v>2</v>
      </c>
      <c r="G32" s="2">
        <v>3</v>
      </c>
      <c r="H32" s="2">
        <v>2</v>
      </c>
      <c r="I32" s="8">
        <v>2</v>
      </c>
      <c r="J32" s="8">
        <v>3</v>
      </c>
      <c r="K32" s="8">
        <v>1</v>
      </c>
      <c r="L32" s="8">
        <v>2</v>
      </c>
      <c r="M32" s="8">
        <v>1</v>
      </c>
      <c r="N32" s="8">
        <v>1</v>
      </c>
      <c r="O32" s="9">
        <v>4</v>
      </c>
      <c r="P32" s="9">
        <v>4</v>
      </c>
      <c r="Q32" s="9">
        <v>3</v>
      </c>
      <c r="R32" s="9">
        <v>2</v>
      </c>
      <c r="S32" s="9">
        <v>3</v>
      </c>
      <c r="T32" s="9">
        <v>5</v>
      </c>
      <c r="U32" s="9">
        <v>3</v>
      </c>
      <c r="V32" s="9">
        <v>3</v>
      </c>
      <c r="W32" s="9">
        <v>5</v>
      </c>
      <c r="X32" s="9">
        <v>4</v>
      </c>
      <c r="Y32" s="11">
        <f t="shared" si="0"/>
        <v>2.1666666666666665</v>
      </c>
      <c r="Z32" s="11">
        <f t="shared" si="1"/>
        <v>1.6666666666666667</v>
      </c>
      <c r="AA32" s="13">
        <f t="shared" si="2"/>
        <v>3.6</v>
      </c>
    </row>
    <row r="33" spans="1:27" x14ac:dyDescent="0.25">
      <c r="A33" s="7">
        <v>46096.89949074074</v>
      </c>
      <c r="B33" t="s">
        <v>175</v>
      </c>
      <c r="C33" s="2">
        <v>2</v>
      </c>
      <c r="D33" s="2">
        <v>2</v>
      </c>
      <c r="E33" s="2">
        <v>1</v>
      </c>
      <c r="F33" s="2">
        <v>2</v>
      </c>
      <c r="G33" s="2">
        <v>2</v>
      </c>
      <c r="H33" s="2">
        <v>3</v>
      </c>
      <c r="I33" s="8">
        <v>3</v>
      </c>
      <c r="J33" s="8">
        <v>1</v>
      </c>
      <c r="K33" s="8">
        <v>2</v>
      </c>
      <c r="L33" s="8">
        <v>3</v>
      </c>
      <c r="M33" s="8">
        <v>3</v>
      </c>
      <c r="N33" s="8">
        <v>3</v>
      </c>
      <c r="O33" s="9">
        <v>2</v>
      </c>
      <c r="P33" s="9">
        <v>3</v>
      </c>
      <c r="Q33" s="9">
        <v>4</v>
      </c>
      <c r="R33" s="9">
        <v>4</v>
      </c>
      <c r="S33" s="9">
        <v>5</v>
      </c>
      <c r="T33" s="9">
        <v>3</v>
      </c>
      <c r="U33" s="9">
        <v>2</v>
      </c>
      <c r="V33" s="9">
        <v>5</v>
      </c>
      <c r="W33" s="9">
        <v>4</v>
      </c>
      <c r="X33" s="9">
        <v>5</v>
      </c>
      <c r="Y33" s="10">
        <f t="shared" si="0"/>
        <v>2</v>
      </c>
      <c r="Z33" s="10">
        <f t="shared" si="1"/>
        <v>2.5</v>
      </c>
      <c r="AA33" s="12">
        <f t="shared" si="2"/>
        <v>3.7</v>
      </c>
    </row>
    <row r="34" spans="1:27" x14ac:dyDescent="0.25">
      <c r="A34" s="7">
        <v>46096.933333333334</v>
      </c>
      <c r="B34" t="s">
        <v>140</v>
      </c>
      <c r="C34" s="2">
        <v>1</v>
      </c>
      <c r="D34" s="2">
        <v>1</v>
      </c>
      <c r="E34" s="2">
        <v>2</v>
      </c>
      <c r="F34" s="2">
        <v>1</v>
      </c>
      <c r="G34" s="2">
        <v>2</v>
      </c>
      <c r="H34" s="2">
        <v>2</v>
      </c>
      <c r="I34" s="8">
        <v>3</v>
      </c>
      <c r="J34" s="8">
        <v>3</v>
      </c>
      <c r="K34" s="8">
        <v>2</v>
      </c>
      <c r="L34" s="8">
        <v>1</v>
      </c>
      <c r="M34" s="8">
        <v>2</v>
      </c>
      <c r="N34" s="8">
        <v>1</v>
      </c>
      <c r="O34" s="9">
        <v>5</v>
      </c>
      <c r="P34" s="9">
        <v>5</v>
      </c>
      <c r="Q34" s="9">
        <v>2</v>
      </c>
      <c r="R34" s="9">
        <v>4</v>
      </c>
      <c r="S34" s="9">
        <v>4</v>
      </c>
      <c r="T34" s="9">
        <v>5</v>
      </c>
      <c r="U34" s="9">
        <v>4</v>
      </c>
      <c r="V34" s="9">
        <v>4</v>
      </c>
      <c r="W34" s="9">
        <v>3</v>
      </c>
      <c r="X34" s="9">
        <v>4</v>
      </c>
      <c r="Y34" s="11">
        <f t="shared" si="0"/>
        <v>1.5</v>
      </c>
      <c r="Z34" s="11">
        <f t="shared" si="1"/>
        <v>2</v>
      </c>
      <c r="AA34" s="13">
        <f t="shared" si="2"/>
        <v>4</v>
      </c>
    </row>
    <row r="35" spans="1:27" x14ac:dyDescent="0.25">
      <c r="A35" s="7">
        <v>46096.934803240743</v>
      </c>
      <c r="B35" t="s">
        <v>144</v>
      </c>
      <c r="C35" s="2">
        <v>3</v>
      </c>
      <c r="D35" s="2">
        <v>3</v>
      </c>
      <c r="E35" s="2">
        <v>2</v>
      </c>
      <c r="F35" s="2">
        <v>3</v>
      </c>
      <c r="G35" s="2">
        <v>3</v>
      </c>
      <c r="H35" s="2">
        <v>3</v>
      </c>
      <c r="I35" s="8">
        <v>1</v>
      </c>
      <c r="J35" s="8">
        <v>1</v>
      </c>
      <c r="K35" s="8">
        <v>4</v>
      </c>
      <c r="L35" s="8">
        <v>2</v>
      </c>
      <c r="M35" s="8">
        <v>2</v>
      </c>
      <c r="N35" s="8">
        <v>3</v>
      </c>
      <c r="O35" s="9">
        <v>3</v>
      </c>
      <c r="P35" s="9">
        <v>4</v>
      </c>
      <c r="Q35" s="9">
        <v>5</v>
      </c>
      <c r="R35" s="9">
        <v>4</v>
      </c>
      <c r="S35" s="9">
        <v>2</v>
      </c>
      <c r="T35" s="9">
        <v>5</v>
      </c>
      <c r="U35" s="9">
        <v>3</v>
      </c>
      <c r="V35" s="9">
        <v>4</v>
      </c>
      <c r="W35" s="9">
        <v>2</v>
      </c>
      <c r="X35" s="9">
        <v>2</v>
      </c>
      <c r="Y35" s="10">
        <f t="shared" si="0"/>
        <v>2.8333333333333335</v>
      </c>
      <c r="Z35" s="10">
        <f t="shared" si="1"/>
        <v>2.1666666666666665</v>
      </c>
      <c r="AA35" s="12">
        <f t="shared" si="2"/>
        <v>3.4</v>
      </c>
    </row>
    <row r="36" spans="1:27" x14ac:dyDescent="0.25">
      <c r="A36" s="7">
        <v>46096.935729166667</v>
      </c>
      <c r="B36" t="s">
        <v>148</v>
      </c>
      <c r="C36" s="2">
        <v>3</v>
      </c>
      <c r="D36" s="2">
        <v>1</v>
      </c>
      <c r="E36" s="2">
        <v>1</v>
      </c>
      <c r="F36" s="2">
        <v>4</v>
      </c>
      <c r="G36" s="2">
        <v>3</v>
      </c>
      <c r="H36" s="2">
        <v>1</v>
      </c>
      <c r="I36" s="8">
        <v>4</v>
      </c>
      <c r="J36" s="8">
        <v>2</v>
      </c>
      <c r="K36" s="8">
        <v>3</v>
      </c>
      <c r="L36" s="8">
        <v>3</v>
      </c>
      <c r="M36" s="8">
        <v>1</v>
      </c>
      <c r="N36" s="8">
        <v>3</v>
      </c>
      <c r="O36" s="9">
        <v>2</v>
      </c>
      <c r="P36" s="9">
        <v>5</v>
      </c>
      <c r="Q36" s="9">
        <v>2</v>
      </c>
      <c r="R36" s="9">
        <v>5</v>
      </c>
      <c r="S36" s="9">
        <v>3</v>
      </c>
      <c r="T36" s="9">
        <v>4</v>
      </c>
      <c r="U36" s="9">
        <v>4</v>
      </c>
      <c r="V36" s="9">
        <v>5</v>
      </c>
      <c r="W36" s="9">
        <v>3</v>
      </c>
      <c r="X36" s="9">
        <v>2</v>
      </c>
      <c r="Y36" s="11">
        <f t="shared" si="0"/>
        <v>2.1666666666666665</v>
      </c>
      <c r="Z36" s="11">
        <f t="shared" si="1"/>
        <v>2.6666666666666665</v>
      </c>
      <c r="AA36" s="13">
        <f t="shared" si="2"/>
        <v>3.5</v>
      </c>
    </row>
    <row r="37" spans="1:27" x14ac:dyDescent="0.25">
      <c r="A37" s="7">
        <v>46097.035879629628</v>
      </c>
      <c r="B37" t="s">
        <v>152</v>
      </c>
      <c r="C37" s="2">
        <v>2</v>
      </c>
      <c r="D37" s="2">
        <v>1</v>
      </c>
      <c r="E37" s="2">
        <v>4</v>
      </c>
      <c r="F37" s="2">
        <v>4</v>
      </c>
      <c r="G37" s="2">
        <v>3</v>
      </c>
      <c r="H37" s="2">
        <v>4</v>
      </c>
      <c r="I37" s="8">
        <v>1</v>
      </c>
      <c r="J37" s="8">
        <v>3</v>
      </c>
      <c r="K37" s="8">
        <v>3</v>
      </c>
      <c r="L37" s="8">
        <v>4</v>
      </c>
      <c r="M37" s="8">
        <v>3</v>
      </c>
      <c r="N37" s="8">
        <v>2</v>
      </c>
      <c r="O37" s="9">
        <v>2</v>
      </c>
      <c r="P37" s="9">
        <v>5</v>
      </c>
      <c r="Q37" s="9">
        <v>6</v>
      </c>
      <c r="R37" s="9">
        <v>5</v>
      </c>
      <c r="S37" s="9">
        <v>6</v>
      </c>
      <c r="T37" s="9">
        <v>5</v>
      </c>
      <c r="U37" s="9">
        <v>4</v>
      </c>
      <c r="V37" s="9">
        <v>4</v>
      </c>
      <c r="W37" s="9">
        <v>4</v>
      </c>
      <c r="X37" s="9">
        <v>5</v>
      </c>
      <c r="Y37" s="20">
        <f t="shared" si="0"/>
        <v>3</v>
      </c>
      <c r="Z37" s="20">
        <f t="shared" si="1"/>
        <v>2.6666666666666665</v>
      </c>
      <c r="AA37" s="21">
        <f t="shared" si="2"/>
        <v>4.5999999999999996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50"/>
  <sheetViews>
    <sheetView zoomScale="86" zoomScaleNormal="67" workbookViewId="0">
      <pane ySplit="1" topLeftCell="A19" activePane="bottomLeft" state="frozen"/>
      <selection pane="bottomLeft" activeCell="B33" sqref="B33"/>
    </sheetView>
  </sheetViews>
  <sheetFormatPr defaultColWidth="12.5546875" defaultRowHeight="15.75" customHeight="1" x14ac:dyDescent="0.25"/>
  <cols>
    <col min="1" max="1" width="18.88671875" style="38" customWidth="1"/>
    <col min="2" max="2" width="28" style="38" customWidth="1"/>
    <col min="3" max="3" width="8.44140625" style="47" customWidth="1"/>
    <col min="4" max="4" width="12.44140625" style="47" customWidth="1"/>
    <col min="5" max="8" width="8.44140625" style="47" customWidth="1"/>
    <col min="9" max="14" width="8.44140625" style="49" customWidth="1"/>
    <col min="15" max="23" width="8.44140625" style="46" customWidth="1"/>
    <col min="24" max="24" width="13.44140625" style="46" customWidth="1"/>
    <col min="25" max="27" width="15.88671875" style="38" customWidth="1"/>
    <col min="28" max="29" width="18.88671875" customWidth="1"/>
    <col min="30" max="30" width="15.44140625" customWidth="1"/>
    <col min="31" max="31" width="18.88671875" hidden="1" customWidth="1"/>
    <col min="32" max="32" width="11.109375" hidden="1" customWidth="1"/>
    <col min="33" max="33" width="18.88671875" hidden="1" customWidth="1"/>
    <col min="34" max="35" width="12.5546875" hidden="1" customWidth="1"/>
    <col min="36" max="36" width="82.5546875" customWidth="1"/>
  </cols>
  <sheetData>
    <row r="1" spans="1:38" s="38" customFormat="1" ht="42" customHeight="1" x14ac:dyDescent="0.25">
      <c r="A1" s="33" t="s">
        <v>0</v>
      </c>
      <c r="B1" s="33" t="s">
        <v>1</v>
      </c>
      <c r="C1" s="34" t="s">
        <v>2</v>
      </c>
      <c r="D1" s="34" t="s">
        <v>3</v>
      </c>
      <c r="E1" s="34" t="s">
        <v>4</v>
      </c>
      <c r="F1" s="34" t="s">
        <v>5</v>
      </c>
      <c r="G1" s="34" t="s">
        <v>6</v>
      </c>
      <c r="H1" s="34" t="s">
        <v>7</v>
      </c>
      <c r="I1" s="35" t="s">
        <v>8</v>
      </c>
      <c r="J1" s="35" t="s">
        <v>9</v>
      </c>
      <c r="K1" s="35" t="s">
        <v>10</v>
      </c>
      <c r="L1" s="35" t="s">
        <v>11</v>
      </c>
      <c r="M1" s="35" t="s">
        <v>12</v>
      </c>
      <c r="N1" s="35" t="s">
        <v>13</v>
      </c>
      <c r="O1" s="36" t="s">
        <v>14</v>
      </c>
      <c r="P1" s="36" t="s">
        <v>15</v>
      </c>
      <c r="Q1" s="36" t="s">
        <v>16</v>
      </c>
      <c r="R1" s="36" t="s">
        <v>17</v>
      </c>
      <c r="S1" s="36" t="s">
        <v>18</v>
      </c>
      <c r="T1" s="36" t="s">
        <v>19</v>
      </c>
      <c r="U1" s="36" t="s">
        <v>20</v>
      </c>
      <c r="V1" s="36" t="s">
        <v>21</v>
      </c>
      <c r="W1" s="36" t="s">
        <v>22</v>
      </c>
      <c r="X1" s="36" t="s">
        <v>23</v>
      </c>
      <c r="Y1" s="37" t="s">
        <v>157</v>
      </c>
      <c r="Z1" s="37" t="s">
        <v>158</v>
      </c>
      <c r="AA1" s="37" t="s">
        <v>159</v>
      </c>
      <c r="AJ1" s="39" t="s">
        <v>173</v>
      </c>
      <c r="AK1" s="40" t="s">
        <v>24</v>
      </c>
      <c r="AL1" s="41" t="s">
        <v>25</v>
      </c>
    </row>
    <row r="2" spans="1:38" ht="19.95" customHeight="1" x14ac:dyDescent="0.3">
      <c r="A2" s="42">
        <v>46108.92636805556</v>
      </c>
      <c r="B2" s="43" t="s">
        <v>26</v>
      </c>
      <c r="C2" s="34">
        <v>4</v>
      </c>
      <c r="D2" s="34">
        <v>5</v>
      </c>
      <c r="E2" s="34">
        <v>2</v>
      </c>
      <c r="F2" s="34">
        <v>4</v>
      </c>
      <c r="G2" s="34">
        <v>2</v>
      </c>
      <c r="H2" s="34">
        <v>4</v>
      </c>
      <c r="I2" s="35">
        <v>3</v>
      </c>
      <c r="J2" s="35">
        <v>4</v>
      </c>
      <c r="K2" s="35">
        <v>4</v>
      </c>
      <c r="L2" s="35">
        <v>4</v>
      </c>
      <c r="M2" s="35">
        <v>4</v>
      </c>
      <c r="N2" s="35">
        <v>4</v>
      </c>
      <c r="O2" s="36">
        <v>6</v>
      </c>
      <c r="P2" s="36">
        <v>9</v>
      </c>
      <c r="Q2" s="36">
        <v>8</v>
      </c>
      <c r="R2" s="36">
        <v>6</v>
      </c>
      <c r="S2" s="36">
        <v>9</v>
      </c>
      <c r="T2" s="36">
        <v>7</v>
      </c>
      <c r="U2" s="36">
        <v>10</v>
      </c>
      <c r="V2" s="36">
        <v>9</v>
      </c>
      <c r="W2" s="36">
        <v>8</v>
      </c>
      <c r="X2" s="36">
        <v>9</v>
      </c>
      <c r="Y2" s="44">
        <f t="shared" ref="Y2:Y37" si="0">AVERAGE(C2:H2)</f>
        <v>3.5</v>
      </c>
      <c r="Z2" s="38">
        <f t="shared" ref="Z2:Z37" si="1">AVERAGE(I2:N2)</f>
        <v>3.8333333333333335</v>
      </c>
      <c r="AA2" s="45">
        <f>AVERAGE(O2:X2)</f>
        <v>8.1</v>
      </c>
      <c r="AJ2" s="28" t="s">
        <v>27</v>
      </c>
      <c r="AK2" s="14" t="s">
        <v>28</v>
      </c>
      <c r="AL2" s="15" t="s">
        <v>29</v>
      </c>
    </row>
    <row r="3" spans="1:38" ht="19.95" customHeight="1" x14ac:dyDescent="0.25">
      <c r="A3" s="42">
        <v>46108.926464444448</v>
      </c>
      <c r="B3" s="43" t="s">
        <v>30</v>
      </c>
      <c r="C3" s="34">
        <v>5</v>
      </c>
      <c r="D3" s="34">
        <v>4</v>
      </c>
      <c r="E3" s="34">
        <v>5</v>
      </c>
      <c r="F3" s="34">
        <v>4</v>
      </c>
      <c r="G3" s="34">
        <v>2</v>
      </c>
      <c r="H3" s="34">
        <v>4</v>
      </c>
      <c r="I3" s="35">
        <v>4</v>
      </c>
      <c r="J3" s="35">
        <v>4</v>
      </c>
      <c r="K3" s="35">
        <v>4</v>
      </c>
      <c r="L3" s="35">
        <v>3</v>
      </c>
      <c r="M3" s="35">
        <v>4</v>
      </c>
      <c r="N3" s="35">
        <v>4</v>
      </c>
      <c r="O3" s="36">
        <v>10</v>
      </c>
      <c r="P3" s="36">
        <v>10</v>
      </c>
      <c r="Q3" s="36">
        <v>8</v>
      </c>
      <c r="R3" s="36">
        <v>9</v>
      </c>
      <c r="S3" s="36">
        <v>10</v>
      </c>
      <c r="T3" s="36">
        <v>9</v>
      </c>
      <c r="U3" s="36">
        <v>9</v>
      </c>
      <c r="V3" s="36">
        <v>10</v>
      </c>
      <c r="W3" s="36">
        <v>10</v>
      </c>
      <c r="X3" s="36">
        <v>10</v>
      </c>
      <c r="Y3" s="38">
        <f t="shared" si="0"/>
        <v>4</v>
      </c>
      <c r="Z3" s="38">
        <f t="shared" si="1"/>
        <v>3.8333333333333335</v>
      </c>
      <c r="AA3" s="38">
        <f t="shared" ref="AA3:AA37" si="2">AVERAGE(O3:X3)</f>
        <v>9.5</v>
      </c>
      <c r="AJ3" s="29" t="s">
        <v>31</v>
      </c>
      <c r="AK3" s="16" t="s">
        <v>32</v>
      </c>
      <c r="AL3" s="12"/>
    </row>
    <row r="4" spans="1:38" ht="19.95" customHeight="1" x14ac:dyDescent="0.25">
      <c r="A4" s="42">
        <v>46108.927804872685</v>
      </c>
      <c r="B4" s="43" t="s">
        <v>33</v>
      </c>
      <c r="C4" s="34">
        <v>4</v>
      </c>
      <c r="D4" s="34">
        <v>4</v>
      </c>
      <c r="E4" s="34">
        <v>4</v>
      </c>
      <c r="F4" s="34">
        <v>4</v>
      </c>
      <c r="G4" s="34">
        <v>4</v>
      </c>
      <c r="H4" s="34">
        <v>4</v>
      </c>
      <c r="I4" s="35">
        <v>4</v>
      </c>
      <c r="J4" s="35">
        <v>4</v>
      </c>
      <c r="K4" s="35">
        <v>4</v>
      </c>
      <c r="L4" s="35">
        <v>4</v>
      </c>
      <c r="M4" s="35">
        <v>4</v>
      </c>
      <c r="N4" s="35">
        <v>3</v>
      </c>
      <c r="O4" s="36">
        <v>8</v>
      </c>
      <c r="P4" s="36">
        <v>8</v>
      </c>
      <c r="Q4" s="36">
        <v>8</v>
      </c>
      <c r="R4" s="36">
        <v>6</v>
      </c>
      <c r="S4" s="36">
        <v>8</v>
      </c>
      <c r="T4" s="36">
        <v>6</v>
      </c>
      <c r="U4" s="36">
        <v>8</v>
      </c>
      <c r="V4" s="36">
        <v>6</v>
      </c>
      <c r="W4" s="36">
        <v>8</v>
      </c>
      <c r="X4" s="36">
        <v>8</v>
      </c>
      <c r="Y4" s="38">
        <f t="shared" si="0"/>
        <v>4</v>
      </c>
      <c r="Z4" s="38">
        <f t="shared" si="1"/>
        <v>3.8333333333333335</v>
      </c>
      <c r="AA4" s="38">
        <f t="shared" si="2"/>
        <v>7.4</v>
      </c>
      <c r="AJ4" s="28" t="s">
        <v>34</v>
      </c>
      <c r="AK4" s="14" t="s">
        <v>35</v>
      </c>
      <c r="AL4" s="15" t="s">
        <v>36</v>
      </c>
    </row>
    <row r="5" spans="1:38" ht="19.95" customHeight="1" x14ac:dyDescent="0.25">
      <c r="A5" s="42">
        <v>46108.927997349536</v>
      </c>
      <c r="B5" s="43" t="s">
        <v>37</v>
      </c>
      <c r="C5" s="34">
        <v>3</v>
      </c>
      <c r="D5" s="34">
        <v>5</v>
      </c>
      <c r="E5" s="34">
        <v>5</v>
      </c>
      <c r="F5" s="34">
        <v>5</v>
      </c>
      <c r="G5" s="34">
        <v>5</v>
      </c>
      <c r="H5" s="34">
        <v>5</v>
      </c>
      <c r="I5" s="35">
        <v>5</v>
      </c>
      <c r="J5" s="35">
        <v>5</v>
      </c>
      <c r="K5" s="35">
        <v>5</v>
      </c>
      <c r="L5" s="35">
        <v>5</v>
      </c>
      <c r="M5" s="35">
        <v>4</v>
      </c>
      <c r="N5" s="35">
        <v>4</v>
      </c>
      <c r="O5" s="36">
        <v>10</v>
      </c>
      <c r="P5" s="36">
        <v>10</v>
      </c>
      <c r="Q5" s="36">
        <v>10</v>
      </c>
      <c r="R5" s="36">
        <v>10</v>
      </c>
      <c r="S5" s="36">
        <v>10</v>
      </c>
      <c r="T5" s="36">
        <v>9</v>
      </c>
      <c r="U5" s="36">
        <v>10</v>
      </c>
      <c r="V5" s="36">
        <v>10</v>
      </c>
      <c r="W5" s="36">
        <v>10</v>
      </c>
      <c r="X5" s="36">
        <v>10</v>
      </c>
      <c r="Y5" s="38">
        <f t="shared" si="0"/>
        <v>4.666666666666667</v>
      </c>
      <c r="Z5" s="38">
        <f t="shared" si="1"/>
        <v>4.666666666666667</v>
      </c>
      <c r="AA5" s="38">
        <f t="shared" si="2"/>
        <v>9.9</v>
      </c>
      <c r="AJ5" s="29" t="s">
        <v>38</v>
      </c>
      <c r="AK5" s="16" t="s">
        <v>39</v>
      </c>
      <c r="AL5" s="17" t="s">
        <v>40</v>
      </c>
    </row>
    <row r="6" spans="1:38" ht="19.95" customHeight="1" x14ac:dyDescent="0.25">
      <c r="A6" s="42">
        <v>46108.929044108794</v>
      </c>
      <c r="B6" s="43" t="s">
        <v>41</v>
      </c>
      <c r="C6" s="34">
        <v>4</v>
      </c>
      <c r="D6" s="34">
        <v>5</v>
      </c>
      <c r="E6" s="34">
        <v>5</v>
      </c>
      <c r="F6" s="34">
        <v>4</v>
      </c>
      <c r="G6" s="34">
        <v>3</v>
      </c>
      <c r="H6" s="34">
        <v>4</v>
      </c>
      <c r="I6" s="35">
        <v>5</v>
      </c>
      <c r="J6" s="35">
        <v>3</v>
      </c>
      <c r="K6" s="35">
        <v>4</v>
      </c>
      <c r="L6" s="35">
        <v>5</v>
      </c>
      <c r="M6" s="35">
        <v>4</v>
      </c>
      <c r="N6" s="35">
        <v>5</v>
      </c>
      <c r="O6" s="36">
        <v>9</v>
      </c>
      <c r="P6" s="36">
        <v>10</v>
      </c>
      <c r="Q6" s="36">
        <v>9</v>
      </c>
      <c r="R6" s="36">
        <v>9</v>
      </c>
      <c r="S6" s="36">
        <v>9</v>
      </c>
      <c r="T6" s="36">
        <v>9</v>
      </c>
      <c r="U6" s="36">
        <v>10</v>
      </c>
      <c r="V6" s="36">
        <v>10</v>
      </c>
      <c r="W6" s="36">
        <v>10</v>
      </c>
      <c r="X6" s="36">
        <v>10</v>
      </c>
      <c r="Y6" s="38">
        <f t="shared" si="0"/>
        <v>4.166666666666667</v>
      </c>
      <c r="Z6" s="38">
        <f t="shared" si="1"/>
        <v>4.333333333333333</v>
      </c>
      <c r="AA6" s="38">
        <f t="shared" si="2"/>
        <v>9.5</v>
      </c>
      <c r="AJ6" s="28" t="s">
        <v>174</v>
      </c>
      <c r="AK6" s="11"/>
      <c r="AL6" s="15" t="s">
        <v>42</v>
      </c>
    </row>
    <row r="7" spans="1:38" ht="19.95" customHeight="1" x14ac:dyDescent="0.25">
      <c r="A7" s="42">
        <v>46108.930225277778</v>
      </c>
      <c r="B7" s="43" t="s">
        <v>43</v>
      </c>
      <c r="C7" s="34">
        <v>1</v>
      </c>
      <c r="D7" s="34">
        <v>1</v>
      </c>
      <c r="E7" s="34">
        <v>1</v>
      </c>
      <c r="F7" s="34">
        <v>4</v>
      </c>
      <c r="G7" s="34">
        <v>1</v>
      </c>
      <c r="H7" s="34">
        <v>1</v>
      </c>
      <c r="I7" s="35">
        <v>1</v>
      </c>
      <c r="J7" s="35">
        <v>3</v>
      </c>
      <c r="K7" s="35">
        <v>1</v>
      </c>
      <c r="L7" s="35">
        <v>1</v>
      </c>
      <c r="M7" s="35">
        <v>1</v>
      </c>
      <c r="N7" s="35">
        <v>1</v>
      </c>
      <c r="O7" s="36">
        <v>10</v>
      </c>
      <c r="P7" s="36">
        <v>10</v>
      </c>
      <c r="Q7" s="36">
        <v>9</v>
      </c>
      <c r="R7" s="36">
        <v>10</v>
      </c>
      <c r="S7" s="36">
        <v>10</v>
      </c>
      <c r="T7" s="36">
        <v>10</v>
      </c>
      <c r="U7" s="36">
        <v>10</v>
      </c>
      <c r="V7" s="36">
        <v>10</v>
      </c>
      <c r="W7" s="36">
        <v>10</v>
      </c>
      <c r="X7" s="36">
        <v>10</v>
      </c>
      <c r="Y7" s="38">
        <f t="shared" si="0"/>
        <v>1.5</v>
      </c>
      <c r="Z7" s="38">
        <f t="shared" si="1"/>
        <v>1.3333333333333333</v>
      </c>
      <c r="AA7" s="38">
        <f t="shared" si="2"/>
        <v>9.9</v>
      </c>
      <c r="AJ7" s="29" t="s">
        <v>44</v>
      </c>
      <c r="AK7" s="16" t="s">
        <v>45</v>
      </c>
      <c r="AL7" s="17" t="s">
        <v>46</v>
      </c>
    </row>
    <row r="8" spans="1:38" ht="19.95" customHeight="1" x14ac:dyDescent="0.25">
      <c r="A8" s="42">
        <v>46108.93038450231</v>
      </c>
      <c r="B8" s="43" t="s">
        <v>47</v>
      </c>
      <c r="C8" s="34">
        <v>5</v>
      </c>
      <c r="D8" s="34">
        <v>5</v>
      </c>
      <c r="E8" s="34">
        <v>3</v>
      </c>
      <c r="F8" s="34">
        <v>5</v>
      </c>
      <c r="G8" s="34">
        <v>5</v>
      </c>
      <c r="H8" s="34">
        <v>5</v>
      </c>
      <c r="I8" s="35">
        <v>5</v>
      </c>
      <c r="J8" s="35">
        <v>5</v>
      </c>
      <c r="K8" s="35">
        <v>5</v>
      </c>
      <c r="L8" s="35">
        <v>5</v>
      </c>
      <c r="M8" s="35">
        <v>4</v>
      </c>
      <c r="N8" s="35">
        <v>4</v>
      </c>
      <c r="O8" s="36">
        <v>10</v>
      </c>
      <c r="P8" s="36">
        <v>10</v>
      </c>
      <c r="Q8" s="36">
        <v>10</v>
      </c>
      <c r="R8" s="36">
        <v>10</v>
      </c>
      <c r="S8" s="36">
        <v>10</v>
      </c>
      <c r="T8" s="36">
        <v>10</v>
      </c>
      <c r="U8" s="36">
        <v>10</v>
      </c>
      <c r="V8" s="36">
        <v>10</v>
      </c>
      <c r="W8" s="36">
        <v>10</v>
      </c>
      <c r="X8" s="36">
        <v>10</v>
      </c>
      <c r="Y8" s="38">
        <f t="shared" si="0"/>
        <v>4.666666666666667</v>
      </c>
      <c r="Z8" s="38">
        <f t="shared" si="1"/>
        <v>4.666666666666667</v>
      </c>
      <c r="AA8" s="38">
        <f t="shared" si="2"/>
        <v>10</v>
      </c>
      <c r="AJ8" s="28" t="s">
        <v>48</v>
      </c>
      <c r="AK8" s="14" t="s">
        <v>49</v>
      </c>
      <c r="AL8" s="15" t="s">
        <v>50</v>
      </c>
    </row>
    <row r="9" spans="1:38" ht="19.95" customHeight="1" x14ac:dyDescent="0.25">
      <c r="A9" s="42">
        <v>46108.932363946762</v>
      </c>
      <c r="B9" s="43" t="s">
        <v>51</v>
      </c>
      <c r="C9" s="34">
        <v>4</v>
      </c>
      <c r="D9" s="34">
        <v>5</v>
      </c>
      <c r="E9" s="34">
        <v>5</v>
      </c>
      <c r="F9" s="34">
        <v>4</v>
      </c>
      <c r="G9" s="34">
        <v>4</v>
      </c>
      <c r="H9" s="34">
        <v>5</v>
      </c>
      <c r="I9" s="35">
        <v>5</v>
      </c>
      <c r="J9" s="35">
        <v>2</v>
      </c>
      <c r="K9" s="35">
        <v>5</v>
      </c>
      <c r="L9" s="35">
        <v>5</v>
      </c>
      <c r="M9" s="35">
        <v>4</v>
      </c>
      <c r="N9" s="35">
        <v>5</v>
      </c>
      <c r="O9" s="36">
        <v>10</v>
      </c>
      <c r="P9" s="36">
        <v>10</v>
      </c>
      <c r="Q9" s="36">
        <v>10</v>
      </c>
      <c r="R9" s="36">
        <v>10</v>
      </c>
      <c r="S9" s="36">
        <v>10</v>
      </c>
      <c r="T9" s="36">
        <v>10</v>
      </c>
      <c r="U9" s="36">
        <v>10</v>
      </c>
      <c r="V9" s="36">
        <v>10</v>
      </c>
      <c r="W9" s="36">
        <v>9</v>
      </c>
      <c r="X9" s="36">
        <v>10</v>
      </c>
      <c r="Y9" s="38">
        <f t="shared" si="0"/>
        <v>4.5</v>
      </c>
      <c r="Z9" s="38">
        <f t="shared" si="1"/>
        <v>4.333333333333333</v>
      </c>
      <c r="AA9" s="38">
        <f t="shared" si="2"/>
        <v>9.9</v>
      </c>
      <c r="AJ9" s="29" t="s">
        <v>52</v>
      </c>
      <c r="AK9" s="16" t="s">
        <v>53</v>
      </c>
      <c r="AL9" s="17" t="s">
        <v>54</v>
      </c>
    </row>
    <row r="10" spans="1:38" ht="19.95" customHeight="1" x14ac:dyDescent="0.25">
      <c r="A10" s="42">
        <v>46108.933099652779</v>
      </c>
      <c r="B10" s="43" t="s">
        <v>55</v>
      </c>
      <c r="C10" s="34">
        <v>5</v>
      </c>
      <c r="D10" s="34">
        <v>5</v>
      </c>
      <c r="E10" s="34">
        <v>5</v>
      </c>
      <c r="F10" s="34">
        <v>5</v>
      </c>
      <c r="G10" s="34">
        <v>5</v>
      </c>
      <c r="H10" s="34">
        <v>5</v>
      </c>
      <c r="I10" s="35">
        <v>5</v>
      </c>
      <c r="J10" s="35">
        <v>5</v>
      </c>
      <c r="K10" s="35">
        <v>5</v>
      </c>
      <c r="L10" s="35">
        <v>5</v>
      </c>
      <c r="M10" s="35">
        <v>5</v>
      </c>
      <c r="N10" s="35">
        <v>5</v>
      </c>
      <c r="O10" s="36">
        <v>10</v>
      </c>
      <c r="P10" s="36">
        <v>10</v>
      </c>
      <c r="Q10" s="36">
        <v>10</v>
      </c>
      <c r="R10" s="36">
        <v>10</v>
      </c>
      <c r="S10" s="36">
        <v>10</v>
      </c>
      <c r="T10" s="36">
        <v>10</v>
      </c>
      <c r="U10" s="36">
        <v>10</v>
      </c>
      <c r="V10" s="36">
        <v>10</v>
      </c>
      <c r="W10" s="36">
        <v>10</v>
      </c>
      <c r="Y10" s="38">
        <f t="shared" si="0"/>
        <v>5</v>
      </c>
      <c r="Z10" s="38">
        <f t="shared" si="1"/>
        <v>5</v>
      </c>
      <c r="AA10" s="38">
        <f t="shared" si="2"/>
        <v>10</v>
      </c>
      <c r="AJ10" s="28" t="s">
        <v>56</v>
      </c>
      <c r="AK10" s="14" t="s">
        <v>57</v>
      </c>
      <c r="AL10" s="15" t="s">
        <v>58</v>
      </c>
    </row>
    <row r="11" spans="1:38" ht="19.95" customHeight="1" x14ac:dyDescent="0.25">
      <c r="A11" s="42">
        <v>46108.943995162037</v>
      </c>
      <c r="B11" s="43" t="s">
        <v>59</v>
      </c>
      <c r="C11" s="34">
        <v>4</v>
      </c>
      <c r="D11" s="34">
        <v>5</v>
      </c>
      <c r="E11" s="34">
        <v>4</v>
      </c>
      <c r="F11" s="34">
        <v>5</v>
      </c>
      <c r="G11" s="34">
        <v>5</v>
      </c>
      <c r="H11" s="34">
        <v>5</v>
      </c>
      <c r="I11" s="35">
        <v>5</v>
      </c>
      <c r="J11" s="35">
        <v>4</v>
      </c>
      <c r="K11" s="35">
        <v>5</v>
      </c>
      <c r="L11" s="35">
        <v>5</v>
      </c>
      <c r="M11" s="35">
        <v>5</v>
      </c>
      <c r="N11" s="35">
        <v>5</v>
      </c>
      <c r="O11" s="36">
        <v>9</v>
      </c>
      <c r="P11" s="36">
        <v>7</v>
      </c>
      <c r="Q11" s="36">
        <v>10</v>
      </c>
      <c r="R11" s="36">
        <v>6</v>
      </c>
      <c r="S11" s="36">
        <v>10</v>
      </c>
      <c r="T11" s="36">
        <v>9</v>
      </c>
      <c r="U11" s="36">
        <v>10</v>
      </c>
      <c r="V11" s="36">
        <v>9</v>
      </c>
      <c r="W11" s="36">
        <v>10</v>
      </c>
      <c r="X11" s="36">
        <v>10</v>
      </c>
      <c r="Y11" s="38">
        <f t="shared" si="0"/>
        <v>4.666666666666667</v>
      </c>
      <c r="Z11" s="38">
        <f t="shared" si="1"/>
        <v>4.833333333333333</v>
      </c>
      <c r="AA11" s="38">
        <f t="shared" si="2"/>
        <v>9</v>
      </c>
      <c r="AJ11" s="29" t="s">
        <v>60</v>
      </c>
      <c r="AK11" s="16" t="s">
        <v>61</v>
      </c>
      <c r="AL11" s="17" t="s">
        <v>62</v>
      </c>
    </row>
    <row r="12" spans="1:38" ht="19.95" customHeight="1" x14ac:dyDescent="0.25">
      <c r="A12" s="42">
        <v>46109.061761030098</v>
      </c>
      <c r="B12" s="43" t="s">
        <v>63</v>
      </c>
      <c r="C12" s="34">
        <v>5</v>
      </c>
      <c r="D12" s="34">
        <v>5</v>
      </c>
      <c r="E12" s="34">
        <v>5</v>
      </c>
      <c r="F12" s="34">
        <v>5</v>
      </c>
      <c r="G12" s="34">
        <v>5</v>
      </c>
      <c r="H12" s="34">
        <v>5</v>
      </c>
      <c r="I12" s="35">
        <v>5</v>
      </c>
      <c r="J12" s="35">
        <v>5</v>
      </c>
      <c r="K12" s="35">
        <v>5</v>
      </c>
      <c r="L12" s="35">
        <v>5</v>
      </c>
      <c r="M12" s="35">
        <v>5</v>
      </c>
      <c r="N12" s="35">
        <v>5</v>
      </c>
      <c r="O12" s="36">
        <v>10</v>
      </c>
      <c r="P12" s="36">
        <v>10</v>
      </c>
      <c r="Q12" s="36">
        <v>10</v>
      </c>
      <c r="R12" s="36">
        <v>10</v>
      </c>
      <c r="S12" s="36">
        <v>10</v>
      </c>
      <c r="T12" s="36">
        <v>10</v>
      </c>
      <c r="U12" s="36">
        <v>10</v>
      </c>
      <c r="V12" s="36">
        <v>10</v>
      </c>
      <c r="W12" s="36">
        <v>10</v>
      </c>
      <c r="X12" s="36">
        <v>10</v>
      </c>
      <c r="Y12" s="38">
        <f t="shared" si="0"/>
        <v>5</v>
      </c>
      <c r="Z12" s="38">
        <f t="shared" si="1"/>
        <v>5</v>
      </c>
      <c r="AA12" s="38">
        <f t="shared" si="2"/>
        <v>10</v>
      </c>
      <c r="AJ12" s="28" t="s">
        <v>64</v>
      </c>
      <c r="AK12" s="14" t="s">
        <v>65</v>
      </c>
      <c r="AL12" s="15" t="s">
        <v>66</v>
      </c>
    </row>
    <row r="13" spans="1:38" ht="19.95" customHeight="1" x14ac:dyDescent="0.25">
      <c r="A13" s="42">
        <v>46109.306629467595</v>
      </c>
      <c r="B13" s="43" t="s">
        <v>67</v>
      </c>
      <c r="C13" s="34">
        <v>3</v>
      </c>
      <c r="D13" s="34">
        <v>5</v>
      </c>
      <c r="E13" s="34">
        <v>5</v>
      </c>
      <c r="F13" s="34">
        <v>5</v>
      </c>
      <c r="G13" s="34">
        <v>1</v>
      </c>
      <c r="H13" s="34">
        <v>5</v>
      </c>
      <c r="I13" s="35">
        <v>5</v>
      </c>
      <c r="J13" s="35">
        <v>5</v>
      </c>
      <c r="K13" s="35">
        <v>5</v>
      </c>
      <c r="L13" s="35">
        <v>5</v>
      </c>
      <c r="M13" s="35">
        <v>5</v>
      </c>
      <c r="N13" s="35">
        <v>5</v>
      </c>
      <c r="O13" s="36">
        <v>10</v>
      </c>
      <c r="P13" s="36">
        <v>10</v>
      </c>
      <c r="Q13" s="36">
        <v>10</v>
      </c>
      <c r="R13" s="36">
        <v>10</v>
      </c>
      <c r="S13" s="36">
        <v>10</v>
      </c>
      <c r="T13" s="36">
        <v>10</v>
      </c>
      <c r="U13" s="36">
        <v>10</v>
      </c>
      <c r="V13" s="36">
        <v>10</v>
      </c>
      <c r="W13" s="36">
        <v>10</v>
      </c>
      <c r="X13" s="36">
        <v>10</v>
      </c>
      <c r="Y13" s="38">
        <f t="shared" si="0"/>
        <v>4</v>
      </c>
      <c r="Z13" s="38">
        <f t="shared" si="1"/>
        <v>5</v>
      </c>
      <c r="AA13" s="38">
        <f t="shared" si="2"/>
        <v>10</v>
      </c>
      <c r="AJ13" s="29" t="s">
        <v>68</v>
      </c>
      <c r="AK13" s="16" t="s">
        <v>69</v>
      </c>
      <c r="AL13" s="17" t="s">
        <v>70</v>
      </c>
    </row>
    <row r="14" spans="1:38" ht="19.95" customHeight="1" x14ac:dyDescent="0.25">
      <c r="A14" s="42">
        <v>46109.407463564814</v>
      </c>
      <c r="B14" s="43" t="s">
        <v>71</v>
      </c>
      <c r="C14" s="34">
        <v>5</v>
      </c>
      <c r="D14" s="34">
        <v>4</v>
      </c>
      <c r="E14" s="34">
        <v>5</v>
      </c>
      <c r="F14" s="34">
        <v>5</v>
      </c>
      <c r="G14" s="34">
        <v>5</v>
      </c>
      <c r="H14" s="34">
        <v>5</v>
      </c>
      <c r="I14" s="35">
        <v>5</v>
      </c>
      <c r="J14" s="35">
        <v>5</v>
      </c>
      <c r="K14" s="35">
        <v>5</v>
      </c>
      <c r="L14" s="35">
        <v>5</v>
      </c>
      <c r="M14" s="35">
        <v>5</v>
      </c>
      <c r="N14" s="35">
        <v>5</v>
      </c>
      <c r="O14" s="36">
        <v>9</v>
      </c>
      <c r="P14" s="36">
        <v>10</v>
      </c>
      <c r="Q14" s="36">
        <v>10</v>
      </c>
      <c r="R14" s="36">
        <v>10</v>
      </c>
      <c r="S14" s="36">
        <v>10</v>
      </c>
      <c r="T14" s="36">
        <v>10</v>
      </c>
      <c r="U14" s="36">
        <v>10</v>
      </c>
      <c r="V14" s="36">
        <v>10</v>
      </c>
      <c r="W14" s="36">
        <v>10</v>
      </c>
      <c r="X14" s="36">
        <v>10</v>
      </c>
      <c r="Y14" s="38">
        <f t="shared" si="0"/>
        <v>4.833333333333333</v>
      </c>
      <c r="Z14" s="38">
        <f t="shared" si="1"/>
        <v>5</v>
      </c>
      <c r="AA14" s="38">
        <f t="shared" si="2"/>
        <v>9.9</v>
      </c>
      <c r="AJ14" s="28" t="s">
        <v>72</v>
      </c>
      <c r="AK14" s="14" t="s">
        <v>73</v>
      </c>
      <c r="AL14" s="15" t="s">
        <v>74</v>
      </c>
    </row>
    <row r="15" spans="1:38" ht="19.95" customHeight="1" x14ac:dyDescent="0.25">
      <c r="A15" s="42">
        <v>46109.409197673609</v>
      </c>
      <c r="B15" s="43" t="s">
        <v>75</v>
      </c>
      <c r="C15" s="34">
        <v>4</v>
      </c>
      <c r="D15" s="34">
        <v>5</v>
      </c>
      <c r="E15" s="34">
        <v>5</v>
      </c>
      <c r="F15" s="34">
        <v>5</v>
      </c>
      <c r="G15" s="34">
        <v>5</v>
      </c>
      <c r="H15" s="34">
        <v>5</v>
      </c>
      <c r="I15" s="35">
        <v>5</v>
      </c>
      <c r="J15" s="35">
        <v>3</v>
      </c>
      <c r="K15" s="35">
        <v>4</v>
      </c>
      <c r="L15" s="35">
        <v>5</v>
      </c>
      <c r="M15" s="35">
        <v>3</v>
      </c>
      <c r="N15" s="35">
        <v>3</v>
      </c>
      <c r="O15" s="36">
        <v>7</v>
      </c>
      <c r="P15" s="36">
        <v>8</v>
      </c>
      <c r="Q15" s="36">
        <v>8</v>
      </c>
      <c r="R15" s="36">
        <v>8</v>
      </c>
      <c r="S15" s="36">
        <v>7</v>
      </c>
      <c r="T15" s="36">
        <v>7</v>
      </c>
      <c r="U15" s="36">
        <v>8</v>
      </c>
      <c r="V15" s="36">
        <v>9</v>
      </c>
      <c r="W15" s="36">
        <v>7</v>
      </c>
      <c r="X15" s="36">
        <v>8</v>
      </c>
      <c r="Y15" s="38">
        <f t="shared" si="0"/>
        <v>4.833333333333333</v>
      </c>
      <c r="Z15" s="38">
        <f t="shared" si="1"/>
        <v>3.8333333333333335</v>
      </c>
      <c r="AA15" s="38">
        <f t="shared" si="2"/>
        <v>7.7</v>
      </c>
      <c r="AJ15" s="29" t="s">
        <v>76</v>
      </c>
      <c r="AK15" s="16" t="s">
        <v>77</v>
      </c>
      <c r="AL15" s="17" t="s">
        <v>78</v>
      </c>
    </row>
    <row r="16" spans="1:38" ht="19.95" customHeight="1" x14ac:dyDescent="0.25">
      <c r="A16" s="42">
        <v>46109.4340930787</v>
      </c>
      <c r="B16" s="43" t="s">
        <v>79</v>
      </c>
      <c r="C16" s="34">
        <v>5</v>
      </c>
      <c r="D16" s="34">
        <v>5</v>
      </c>
      <c r="E16" s="34">
        <v>4</v>
      </c>
      <c r="F16" s="34">
        <v>5</v>
      </c>
      <c r="G16" s="34">
        <v>4</v>
      </c>
      <c r="H16" s="34">
        <v>5</v>
      </c>
      <c r="I16" s="35">
        <v>5</v>
      </c>
      <c r="J16" s="35">
        <v>3</v>
      </c>
      <c r="K16" s="35">
        <v>5</v>
      </c>
      <c r="L16" s="35">
        <v>5</v>
      </c>
      <c r="M16" s="35">
        <v>4</v>
      </c>
      <c r="N16" s="35">
        <v>3</v>
      </c>
      <c r="O16" s="36">
        <v>10</v>
      </c>
      <c r="P16" s="36">
        <v>10</v>
      </c>
      <c r="Q16" s="36">
        <v>9</v>
      </c>
      <c r="R16" s="36">
        <v>9</v>
      </c>
      <c r="S16" s="36">
        <v>9</v>
      </c>
      <c r="T16" s="36">
        <v>9</v>
      </c>
      <c r="U16" s="36">
        <v>10</v>
      </c>
      <c r="V16" s="36">
        <v>10</v>
      </c>
      <c r="W16" s="36">
        <v>10</v>
      </c>
      <c r="X16" s="36">
        <v>10</v>
      </c>
      <c r="Y16" s="38">
        <f t="shared" si="0"/>
        <v>4.666666666666667</v>
      </c>
      <c r="Z16" s="38">
        <f t="shared" si="1"/>
        <v>4.166666666666667</v>
      </c>
      <c r="AA16" s="38">
        <f t="shared" si="2"/>
        <v>9.6</v>
      </c>
      <c r="AJ16" s="28" t="s">
        <v>80</v>
      </c>
      <c r="AK16" s="14" t="s">
        <v>81</v>
      </c>
      <c r="AL16" s="15" t="s">
        <v>82</v>
      </c>
    </row>
    <row r="17" spans="1:38" ht="19.95" customHeight="1" x14ac:dyDescent="0.25">
      <c r="A17" s="42">
        <v>46109.439796724539</v>
      </c>
      <c r="B17" s="43" t="s">
        <v>83</v>
      </c>
      <c r="C17" s="34">
        <v>4</v>
      </c>
      <c r="D17" s="34">
        <v>1</v>
      </c>
      <c r="E17" s="34">
        <v>4</v>
      </c>
      <c r="F17" s="34">
        <v>1</v>
      </c>
      <c r="G17" s="34">
        <v>1</v>
      </c>
      <c r="H17" s="34">
        <v>1</v>
      </c>
      <c r="I17" s="35">
        <v>1</v>
      </c>
      <c r="J17" s="35">
        <v>3</v>
      </c>
      <c r="K17" s="35">
        <v>4</v>
      </c>
      <c r="L17" s="35">
        <v>1</v>
      </c>
      <c r="M17" s="35">
        <v>3</v>
      </c>
      <c r="N17" s="35">
        <v>2</v>
      </c>
      <c r="O17" s="36">
        <v>5</v>
      </c>
      <c r="P17" s="36">
        <v>10</v>
      </c>
      <c r="Q17" s="36">
        <v>10</v>
      </c>
      <c r="R17" s="36">
        <v>10</v>
      </c>
      <c r="S17" s="36">
        <v>10</v>
      </c>
      <c r="T17" s="36">
        <v>7</v>
      </c>
      <c r="U17" s="36">
        <v>10</v>
      </c>
      <c r="V17" s="36">
        <v>10</v>
      </c>
      <c r="W17" s="36">
        <v>10</v>
      </c>
      <c r="X17" s="36">
        <v>10</v>
      </c>
      <c r="Y17" s="38">
        <f t="shared" si="0"/>
        <v>2</v>
      </c>
      <c r="Z17" s="38">
        <f t="shared" si="1"/>
        <v>2.3333333333333335</v>
      </c>
      <c r="AA17" s="38">
        <f t="shared" si="2"/>
        <v>9.1999999999999993</v>
      </c>
      <c r="AJ17" s="30"/>
      <c r="AK17" s="10"/>
      <c r="AL17" s="12"/>
    </row>
    <row r="18" spans="1:38" ht="19.95" customHeight="1" x14ac:dyDescent="0.25">
      <c r="A18" s="42">
        <v>46109.652146342589</v>
      </c>
      <c r="B18" s="43" t="s">
        <v>84</v>
      </c>
      <c r="C18" s="34">
        <v>4</v>
      </c>
      <c r="D18" s="34">
        <v>4</v>
      </c>
      <c r="E18" s="34">
        <v>4</v>
      </c>
      <c r="F18" s="34">
        <v>5</v>
      </c>
      <c r="G18" s="34">
        <v>3</v>
      </c>
      <c r="H18" s="34">
        <v>5</v>
      </c>
      <c r="I18" s="35">
        <v>4</v>
      </c>
      <c r="J18" s="35">
        <v>5</v>
      </c>
      <c r="K18" s="35">
        <v>3</v>
      </c>
      <c r="L18" s="35">
        <v>5</v>
      </c>
      <c r="M18" s="35">
        <v>3</v>
      </c>
      <c r="N18" s="35">
        <v>5</v>
      </c>
      <c r="O18" s="36">
        <v>10</v>
      </c>
      <c r="P18" s="36">
        <v>6</v>
      </c>
      <c r="Q18" s="36">
        <v>6</v>
      </c>
      <c r="R18" s="36">
        <v>4</v>
      </c>
      <c r="S18" s="36">
        <v>9</v>
      </c>
      <c r="T18" s="36">
        <v>7</v>
      </c>
      <c r="U18" s="36">
        <v>9</v>
      </c>
      <c r="V18" s="36">
        <v>4</v>
      </c>
      <c r="W18" s="36">
        <v>8</v>
      </c>
      <c r="X18" s="36">
        <v>6</v>
      </c>
      <c r="Y18" s="38">
        <f t="shared" si="0"/>
        <v>4.166666666666667</v>
      </c>
      <c r="Z18" s="38">
        <f t="shared" si="1"/>
        <v>4.166666666666667</v>
      </c>
      <c r="AA18" s="38">
        <f t="shared" si="2"/>
        <v>6.9</v>
      </c>
      <c r="AJ18" s="28" t="s">
        <v>85</v>
      </c>
      <c r="AK18" s="14" t="s">
        <v>86</v>
      </c>
      <c r="AL18" s="13"/>
    </row>
    <row r="19" spans="1:38" ht="19.95" customHeight="1" x14ac:dyDescent="0.25">
      <c r="A19" s="42">
        <v>46109.655334062496</v>
      </c>
      <c r="B19" s="43" t="s">
        <v>87</v>
      </c>
      <c r="C19" s="34">
        <v>3</v>
      </c>
      <c r="D19" s="34">
        <v>4</v>
      </c>
      <c r="E19" s="34">
        <v>4</v>
      </c>
      <c r="F19" s="34">
        <v>4</v>
      </c>
      <c r="G19" s="34">
        <v>5</v>
      </c>
      <c r="H19" s="34">
        <v>4</v>
      </c>
      <c r="I19" s="35">
        <v>4</v>
      </c>
      <c r="J19" s="35">
        <v>5</v>
      </c>
      <c r="K19" s="35">
        <v>4</v>
      </c>
      <c r="L19" s="35">
        <v>5</v>
      </c>
      <c r="M19" s="35">
        <v>3</v>
      </c>
      <c r="N19" s="35">
        <v>4</v>
      </c>
      <c r="O19" s="36">
        <v>5</v>
      </c>
      <c r="P19" s="36">
        <v>6</v>
      </c>
      <c r="Q19" s="36">
        <v>7</v>
      </c>
      <c r="R19" s="36">
        <v>6</v>
      </c>
      <c r="S19" s="36">
        <v>8</v>
      </c>
      <c r="T19" s="36">
        <v>6</v>
      </c>
      <c r="U19" s="36">
        <v>5</v>
      </c>
      <c r="V19" s="36">
        <v>5</v>
      </c>
      <c r="W19" s="36">
        <v>6</v>
      </c>
      <c r="X19" s="36">
        <v>7</v>
      </c>
      <c r="Y19" s="38">
        <f t="shared" si="0"/>
        <v>4</v>
      </c>
      <c r="Z19" s="38">
        <f t="shared" si="1"/>
        <v>4.166666666666667</v>
      </c>
      <c r="AA19" s="38">
        <f t="shared" si="2"/>
        <v>6.1</v>
      </c>
      <c r="AJ19" s="29" t="s">
        <v>88</v>
      </c>
      <c r="AK19" s="16" t="s">
        <v>89</v>
      </c>
      <c r="AL19" s="17" t="s">
        <v>90</v>
      </c>
    </row>
    <row r="20" spans="1:38" ht="19.95" customHeight="1" x14ac:dyDescent="0.25">
      <c r="A20" s="42">
        <v>46110.797809120369</v>
      </c>
      <c r="B20" s="43" t="s">
        <v>91</v>
      </c>
      <c r="C20" s="34">
        <v>5</v>
      </c>
      <c r="D20" s="34">
        <v>5</v>
      </c>
      <c r="E20" s="34">
        <v>5</v>
      </c>
      <c r="F20" s="34">
        <v>5</v>
      </c>
      <c r="G20" s="34">
        <v>5</v>
      </c>
      <c r="H20" s="34">
        <v>5</v>
      </c>
      <c r="I20" s="35">
        <v>5</v>
      </c>
      <c r="J20" s="35">
        <v>5</v>
      </c>
      <c r="K20" s="35">
        <v>5</v>
      </c>
      <c r="L20" s="35">
        <v>5</v>
      </c>
      <c r="M20" s="35">
        <v>5</v>
      </c>
      <c r="N20" s="35">
        <v>5</v>
      </c>
      <c r="O20" s="36">
        <v>10</v>
      </c>
      <c r="P20" s="36">
        <v>10</v>
      </c>
      <c r="Q20" s="36">
        <v>10</v>
      </c>
      <c r="R20" s="36">
        <v>10</v>
      </c>
      <c r="S20" s="36">
        <v>10</v>
      </c>
      <c r="T20" s="36">
        <v>10</v>
      </c>
      <c r="U20" s="36">
        <v>10</v>
      </c>
      <c r="W20" s="36">
        <v>10</v>
      </c>
      <c r="X20" s="36">
        <v>10</v>
      </c>
      <c r="Y20" s="38">
        <f t="shared" si="0"/>
        <v>5</v>
      </c>
      <c r="Z20" s="38">
        <f t="shared" si="1"/>
        <v>5</v>
      </c>
      <c r="AA20" s="38">
        <f t="shared" si="2"/>
        <v>10</v>
      </c>
      <c r="AJ20" s="31"/>
      <c r="AK20" s="14" t="s">
        <v>92</v>
      </c>
      <c r="AL20" s="15" t="s">
        <v>93</v>
      </c>
    </row>
    <row r="21" spans="1:38" ht="19.95" customHeight="1" x14ac:dyDescent="0.25">
      <c r="A21" s="42">
        <v>46110.803951851849</v>
      </c>
      <c r="B21" s="43" t="s">
        <v>94</v>
      </c>
      <c r="C21" s="34">
        <v>5</v>
      </c>
      <c r="D21" s="34">
        <v>5</v>
      </c>
      <c r="E21" s="34">
        <v>5</v>
      </c>
      <c r="F21" s="34">
        <v>5</v>
      </c>
      <c r="G21" s="34">
        <v>5</v>
      </c>
      <c r="H21" s="34">
        <v>5</v>
      </c>
      <c r="I21" s="35">
        <v>5</v>
      </c>
      <c r="J21" s="35">
        <v>5</v>
      </c>
      <c r="K21" s="35">
        <v>5</v>
      </c>
      <c r="L21" s="35">
        <v>3</v>
      </c>
      <c r="M21" s="35">
        <v>3</v>
      </c>
      <c r="N21" s="35">
        <v>4</v>
      </c>
      <c r="O21" s="36">
        <v>3</v>
      </c>
      <c r="P21" s="36">
        <v>10</v>
      </c>
      <c r="Q21" s="36">
        <v>5</v>
      </c>
      <c r="R21" s="36">
        <v>2</v>
      </c>
      <c r="S21" s="36">
        <v>5</v>
      </c>
      <c r="T21" s="36">
        <v>5</v>
      </c>
      <c r="U21" s="36">
        <v>3</v>
      </c>
      <c r="V21" s="36">
        <v>5</v>
      </c>
      <c r="W21" s="36">
        <v>5</v>
      </c>
      <c r="X21" s="36">
        <v>5</v>
      </c>
      <c r="Y21" s="38">
        <f t="shared" si="0"/>
        <v>5</v>
      </c>
      <c r="Z21" s="38">
        <f t="shared" si="1"/>
        <v>4.166666666666667</v>
      </c>
      <c r="AA21" s="38">
        <f t="shared" si="2"/>
        <v>4.8</v>
      </c>
      <c r="AJ21" s="29" t="s">
        <v>95</v>
      </c>
      <c r="AK21" s="16" t="s">
        <v>96</v>
      </c>
      <c r="AL21" s="17" t="s">
        <v>97</v>
      </c>
    </row>
    <row r="22" spans="1:38" ht="19.95" customHeight="1" x14ac:dyDescent="0.25">
      <c r="A22" s="42">
        <v>46110.806349710649</v>
      </c>
      <c r="B22" s="43" t="s">
        <v>98</v>
      </c>
      <c r="C22" s="34">
        <v>3</v>
      </c>
      <c r="D22" s="34">
        <v>3</v>
      </c>
      <c r="E22" s="34">
        <v>5</v>
      </c>
      <c r="F22" s="34">
        <v>5</v>
      </c>
      <c r="G22" s="34">
        <v>4</v>
      </c>
      <c r="H22" s="34">
        <v>5</v>
      </c>
      <c r="I22" s="35">
        <v>5</v>
      </c>
      <c r="J22" s="35">
        <v>5</v>
      </c>
      <c r="K22" s="35">
        <v>5</v>
      </c>
      <c r="L22" s="35">
        <v>4</v>
      </c>
      <c r="M22" s="35">
        <v>3</v>
      </c>
      <c r="N22" s="35">
        <v>5</v>
      </c>
      <c r="O22" s="36">
        <v>3</v>
      </c>
      <c r="P22" s="36">
        <v>10</v>
      </c>
      <c r="Q22" s="36">
        <v>10</v>
      </c>
      <c r="R22" s="36">
        <v>10</v>
      </c>
      <c r="S22" s="36">
        <v>10</v>
      </c>
      <c r="T22" s="36">
        <v>10</v>
      </c>
      <c r="U22" s="36">
        <v>10</v>
      </c>
      <c r="V22" s="36">
        <v>10</v>
      </c>
      <c r="W22" s="36">
        <v>10</v>
      </c>
      <c r="X22" s="36">
        <v>10</v>
      </c>
      <c r="Y22" s="38">
        <f t="shared" si="0"/>
        <v>4.166666666666667</v>
      </c>
      <c r="Z22" s="38">
        <f t="shared" si="1"/>
        <v>4.5</v>
      </c>
      <c r="AA22" s="38">
        <f t="shared" si="2"/>
        <v>9.3000000000000007</v>
      </c>
      <c r="AJ22" s="28" t="s">
        <v>99</v>
      </c>
      <c r="AK22" s="14" t="s">
        <v>100</v>
      </c>
      <c r="AL22" s="15" t="s">
        <v>101</v>
      </c>
    </row>
    <row r="23" spans="1:38" ht="19.95" customHeight="1" x14ac:dyDescent="0.25">
      <c r="A23" s="42">
        <v>46110.806622118056</v>
      </c>
      <c r="B23" s="43" t="s">
        <v>102</v>
      </c>
      <c r="C23" s="34">
        <v>3</v>
      </c>
      <c r="D23" s="34">
        <v>2</v>
      </c>
      <c r="E23" s="34">
        <v>3</v>
      </c>
      <c r="F23" s="34">
        <v>3</v>
      </c>
      <c r="G23" s="34">
        <v>3</v>
      </c>
      <c r="H23" s="34">
        <v>3</v>
      </c>
      <c r="I23" s="35">
        <v>4</v>
      </c>
      <c r="J23" s="35">
        <v>4</v>
      </c>
      <c r="K23" s="35">
        <v>4</v>
      </c>
      <c r="L23" s="35">
        <v>4</v>
      </c>
      <c r="M23" s="35">
        <v>3</v>
      </c>
      <c r="N23" s="35">
        <v>4</v>
      </c>
      <c r="O23" s="36">
        <v>5</v>
      </c>
      <c r="P23" s="36">
        <v>5</v>
      </c>
      <c r="Q23" s="36">
        <v>4</v>
      </c>
      <c r="R23" s="36">
        <v>3</v>
      </c>
      <c r="S23" s="36">
        <v>5</v>
      </c>
      <c r="T23" s="36">
        <v>6</v>
      </c>
      <c r="U23" s="36">
        <v>4</v>
      </c>
      <c r="V23" s="36">
        <v>5</v>
      </c>
      <c r="W23" s="36">
        <v>6</v>
      </c>
      <c r="X23" s="36">
        <v>5</v>
      </c>
      <c r="Y23" s="38">
        <f t="shared" si="0"/>
        <v>2.8333333333333335</v>
      </c>
      <c r="Z23" s="38">
        <f t="shared" si="1"/>
        <v>3.8333333333333335</v>
      </c>
      <c r="AA23" s="38">
        <f t="shared" si="2"/>
        <v>4.8</v>
      </c>
      <c r="AJ23" s="29" t="s">
        <v>103</v>
      </c>
      <c r="AK23" s="16" t="s">
        <v>93</v>
      </c>
      <c r="AL23" s="17" t="s">
        <v>104</v>
      </c>
    </row>
    <row r="24" spans="1:38" ht="19.95" customHeight="1" x14ac:dyDescent="0.25">
      <c r="A24" s="42">
        <v>46110.808194479163</v>
      </c>
      <c r="B24" s="43" t="s">
        <v>105</v>
      </c>
      <c r="C24" s="34">
        <v>4</v>
      </c>
      <c r="D24" s="34">
        <v>4</v>
      </c>
      <c r="E24" s="34">
        <v>3</v>
      </c>
      <c r="F24" s="34">
        <v>4</v>
      </c>
      <c r="G24" s="34">
        <v>3</v>
      </c>
      <c r="H24" s="34">
        <v>4</v>
      </c>
      <c r="I24" s="35">
        <v>4</v>
      </c>
      <c r="J24" s="35">
        <v>3</v>
      </c>
      <c r="K24" s="35">
        <v>4</v>
      </c>
      <c r="L24" s="35">
        <v>4</v>
      </c>
      <c r="M24" s="35">
        <v>3</v>
      </c>
      <c r="N24" s="35">
        <v>4</v>
      </c>
      <c r="O24" s="36">
        <v>7</v>
      </c>
      <c r="P24" s="36">
        <v>8</v>
      </c>
      <c r="Q24" s="36">
        <v>9</v>
      </c>
      <c r="R24" s="36">
        <v>8</v>
      </c>
      <c r="S24" s="36">
        <v>8</v>
      </c>
      <c r="T24" s="36">
        <v>9</v>
      </c>
      <c r="U24" s="36">
        <v>8</v>
      </c>
      <c r="V24" s="36">
        <v>9</v>
      </c>
      <c r="W24" s="36">
        <v>8</v>
      </c>
      <c r="X24" s="36">
        <v>8</v>
      </c>
      <c r="Y24" s="38">
        <f t="shared" si="0"/>
        <v>3.6666666666666665</v>
      </c>
      <c r="Z24" s="38">
        <f t="shared" si="1"/>
        <v>3.6666666666666665</v>
      </c>
      <c r="AA24" s="38">
        <f t="shared" si="2"/>
        <v>8.1999999999999993</v>
      </c>
      <c r="AJ24" s="28" t="s">
        <v>106</v>
      </c>
      <c r="AK24" s="14" t="s">
        <v>107</v>
      </c>
      <c r="AL24" s="15" t="s">
        <v>108</v>
      </c>
    </row>
    <row r="25" spans="1:38" ht="19.95" customHeight="1" x14ac:dyDescent="0.25">
      <c r="A25" s="42">
        <v>46110.813014942134</v>
      </c>
      <c r="B25" s="43" t="s">
        <v>109</v>
      </c>
      <c r="C25" s="34">
        <v>3</v>
      </c>
      <c r="D25" s="34">
        <v>4</v>
      </c>
      <c r="E25" s="34">
        <v>5</v>
      </c>
      <c r="F25" s="34">
        <v>5</v>
      </c>
      <c r="G25" s="34">
        <v>4</v>
      </c>
      <c r="H25" s="34">
        <v>5</v>
      </c>
      <c r="I25" s="35">
        <v>5</v>
      </c>
      <c r="J25" s="35">
        <v>5</v>
      </c>
      <c r="K25" s="35">
        <v>5</v>
      </c>
      <c r="L25" s="35">
        <v>3</v>
      </c>
      <c r="M25" s="35">
        <v>3</v>
      </c>
      <c r="N25" s="35">
        <v>5</v>
      </c>
      <c r="O25" s="36">
        <v>7</v>
      </c>
      <c r="P25" s="36">
        <v>7</v>
      </c>
      <c r="Q25" s="36">
        <v>10</v>
      </c>
      <c r="R25" s="36">
        <v>8</v>
      </c>
      <c r="S25" s="36">
        <v>7</v>
      </c>
      <c r="T25" s="36">
        <v>7</v>
      </c>
      <c r="U25" s="36">
        <v>10</v>
      </c>
      <c r="V25" s="36">
        <v>10</v>
      </c>
      <c r="W25" s="36">
        <v>5</v>
      </c>
      <c r="X25" s="36">
        <v>10</v>
      </c>
      <c r="Y25" s="38">
        <f t="shared" si="0"/>
        <v>4.333333333333333</v>
      </c>
      <c r="Z25" s="38">
        <f t="shared" si="1"/>
        <v>4.333333333333333</v>
      </c>
      <c r="AA25" s="38">
        <f t="shared" si="2"/>
        <v>8.1</v>
      </c>
      <c r="AJ25" s="29" t="s">
        <v>110</v>
      </c>
      <c r="AK25" s="16" t="s">
        <v>111</v>
      </c>
      <c r="AL25" s="17" t="s">
        <v>112</v>
      </c>
    </row>
    <row r="26" spans="1:38" ht="19.95" customHeight="1" x14ac:dyDescent="0.25">
      <c r="A26" s="42">
        <v>46110.813237442126</v>
      </c>
      <c r="B26" s="43" t="s">
        <v>113</v>
      </c>
      <c r="C26" s="34">
        <v>1</v>
      </c>
      <c r="D26" s="34">
        <v>1</v>
      </c>
      <c r="E26" s="34">
        <v>1</v>
      </c>
      <c r="F26" s="34">
        <v>1</v>
      </c>
      <c r="G26" s="34">
        <v>1</v>
      </c>
      <c r="H26" s="34">
        <v>1</v>
      </c>
      <c r="I26" s="35">
        <v>1</v>
      </c>
      <c r="J26" s="35">
        <v>1</v>
      </c>
      <c r="K26" s="35">
        <v>1</v>
      </c>
      <c r="L26" s="35">
        <v>1</v>
      </c>
      <c r="M26" s="35">
        <v>1</v>
      </c>
      <c r="N26" s="35">
        <v>1</v>
      </c>
      <c r="O26" s="36">
        <v>10</v>
      </c>
      <c r="P26" s="36">
        <v>10</v>
      </c>
      <c r="Q26" s="36">
        <v>10</v>
      </c>
      <c r="R26" s="36">
        <v>10</v>
      </c>
      <c r="S26" s="36">
        <v>10</v>
      </c>
      <c r="T26" s="36">
        <v>10</v>
      </c>
      <c r="U26" s="36">
        <v>10</v>
      </c>
      <c r="V26" s="36">
        <v>10</v>
      </c>
      <c r="W26" s="36">
        <v>10</v>
      </c>
      <c r="X26" s="36">
        <v>10</v>
      </c>
      <c r="Y26" s="38">
        <f t="shared" si="0"/>
        <v>1</v>
      </c>
      <c r="Z26" s="38">
        <f t="shared" si="1"/>
        <v>1</v>
      </c>
      <c r="AA26" s="38">
        <f t="shared" si="2"/>
        <v>10</v>
      </c>
      <c r="AJ26" s="31"/>
      <c r="AK26" s="11"/>
      <c r="AL26" s="13"/>
    </row>
    <row r="27" spans="1:38" ht="19.95" customHeight="1" x14ac:dyDescent="0.25">
      <c r="A27" s="42">
        <v>46110.820283344903</v>
      </c>
      <c r="B27" s="43" t="s">
        <v>114</v>
      </c>
      <c r="C27" s="34">
        <v>4</v>
      </c>
      <c r="D27" s="34">
        <v>4</v>
      </c>
      <c r="E27" s="34">
        <v>5</v>
      </c>
      <c r="F27" s="34">
        <v>4</v>
      </c>
      <c r="G27" s="34">
        <v>4</v>
      </c>
      <c r="H27" s="34">
        <v>5</v>
      </c>
      <c r="I27" s="35">
        <v>3</v>
      </c>
      <c r="J27" s="35">
        <v>4</v>
      </c>
      <c r="K27" s="35">
        <v>4</v>
      </c>
      <c r="L27" s="35">
        <v>4</v>
      </c>
      <c r="M27" s="35">
        <v>4</v>
      </c>
      <c r="N27" s="35">
        <v>4</v>
      </c>
      <c r="O27" s="36">
        <v>5</v>
      </c>
      <c r="P27" s="36">
        <v>6</v>
      </c>
      <c r="Q27" s="36">
        <v>7</v>
      </c>
      <c r="R27" s="36">
        <v>6</v>
      </c>
      <c r="S27" s="36">
        <v>6</v>
      </c>
      <c r="T27" s="36">
        <v>7</v>
      </c>
      <c r="U27" s="36">
        <v>7</v>
      </c>
      <c r="V27" s="36">
        <v>7</v>
      </c>
      <c r="W27" s="36">
        <v>6</v>
      </c>
      <c r="X27" s="36">
        <v>6</v>
      </c>
      <c r="Y27" s="38">
        <f t="shared" si="0"/>
        <v>4.333333333333333</v>
      </c>
      <c r="Z27" s="38">
        <f t="shared" si="1"/>
        <v>3.8333333333333335</v>
      </c>
      <c r="AA27" s="38">
        <f t="shared" si="2"/>
        <v>6.3</v>
      </c>
      <c r="AJ27" s="29" t="s">
        <v>115</v>
      </c>
      <c r="AK27" s="16" t="s">
        <v>116</v>
      </c>
      <c r="AL27" s="17" t="s">
        <v>117</v>
      </c>
    </row>
    <row r="28" spans="1:38" ht="19.95" customHeight="1" x14ac:dyDescent="0.25">
      <c r="A28" s="42">
        <v>46110.822772187501</v>
      </c>
      <c r="B28" s="43" t="s">
        <v>118</v>
      </c>
      <c r="C28" s="34">
        <v>1</v>
      </c>
      <c r="D28" s="34">
        <v>4</v>
      </c>
      <c r="E28" s="34">
        <v>1</v>
      </c>
      <c r="F28" s="34">
        <v>1</v>
      </c>
      <c r="G28" s="34">
        <v>4</v>
      </c>
      <c r="H28" s="34">
        <v>1</v>
      </c>
      <c r="I28" s="35">
        <v>4</v>
      </c>
      <c r="J28" s="35">
        <v>1</v>
      </c>
      <c r="K28" s="35">
        <v>4</v>
      </c>
      <c r="L28" s="35">
        <v>4</v>
      </c>
      <c r="M28" s="35">
        <v>4</v>
      </c>
      <c r="N28" s="35">
        <v>4</v>
      </c>
      <c r="O28" s="36">
        <v>10</v>
      </c>
      <c r="P28" s="36">
        <v>7</v>
      </c>
      <c r="Q28" s="36">
        <v>8</v>
      </c>
      <c r="R28" s="36">
        <v>10</v>
      </c>
      <c r="S28" s="36">
        <v>10</v>
      </c>
      <c r="T28" s="36">
        <v>10</v>
      </c>
      <c r="U28" s="36">
        <v>10</v>
      </c>
      <c r="V28" s="36">
        <v>10</v>
      </c>
      <c r="W28" s="36">
        <v>10</v>
      </c>
      <c r="X28" s="36">
        <v>10</v>
      </c>
      <c r="Y28" s="38">
        <f t="shared" si="0"/>
        <v>2</v>
      </c>
      <c r="Z28" s="38">
        <f t="shared" si="1"/>
        <v>3.5</v>
      </c>
      <c r="AA28" s="38">
        <f t="shared" si="2"/>
        <v>9.5</v>
      </c>
      <c r="AJ28" s="28" t="s">
        <v>119</v>
      </c>
      <c r="AK28" s="14" t="s">
        <v>120</v>
      </c>
      <c r="AL28" s="15" t="s">
        <v>121</v>
      </c>
    </row>
    <row r="29" spans="1:38" ht="19.95" customHeight="1" x14ac:dyDescent="0.25">
      <c r="A29" s="42">
        <v>46110.840826122687</v>
      </c>
      <c r="B29" s="43" t="s">
        <v>122</v>
      </c>
      <c r="C29" s="34">
        <v>5</v>
      </c>
      <c r="D29" s="34">
        <v>4</v>
      </c>
      <c r="E29" s="34">
        <v>5</v>
      </c>
      <c r="F29" s="34">
        <v>5</v>
      </c>
      <c r="G29" s="34">
        <v>5</v>
      </c>
      <c r="H29" s="34">
        <v>5</v>
      </c>
      <c r="I29" s="35">
        <v>5</v>
      </c>
      <c r="J29" s="35">
        <v>3</v>
      </c>
      <c r="K29" s="35">
        <v>3</v>
      </c>
      <c r="L29" s="35">
        <v>4</v>
      </c>
      <c r="M29" s="35">
        <v>5</v>
      </c>
      <c r="N29" s="35">
        <v>4</v>
      </c>
      <c r="O29" s="36">
        <v>10</v>
      </c>
      <c r="P29" s="36">
        <v>10</v>
      </c>
      <c r="Q29" s="36">
        <v>9</v>
      </c>
      <c r="R29" s="36">
        <v>10</v>
      </c>
      <c r="S29" s="36">
        <v>10</v>
      </c>
      <c r="T29" s="36">
        <v>9</v>
      </c>
      <c r="U29" s="36">
        <v>10</v>
      </c>
      <c r="V29" s="36">
        <v>10</v>
      </c>
      <c r="W29" s="36">
        <v>10</v>
      </c>
      <c r="X29" s="36">
        <v>10</v>
      </c>
      <c r="Y29" s="38">
        <f t="shared" si="0"/>
        <v>4.833333333333333</v>
      </c>
      <c r="Z29" s="38">
        <f t="shared" si="1"/>
        <v>4</v>
      </c>
      <c r="AA29" s="38">
        <f t="shared" si="2"/>
        <v>9.8000000000000007</v>
      </c>
      <c r="AJ29" s="29" t="s">
        <v>123</v>
      </c>
      <c r="AK29" s="16" t="s">
        <v>124</v>
      </c>
      <c r="AL29" s="17" t="s">
        <v>125</v>
      </c>
    </row>
    <row r="30" spans="1:38" ht="19.95" customHeight="1" x14ac:dyDescent="0.25">
      <c r="A30" s="42">
        <v>46110.849680925923</v>
      </c>
      <c r="B30" s="43" t="s">
        <v>126</v>
      </c>
      <c r="C30" s="34">
        <v>5</v>
      </c>
      <c r="D30" s="34">
        <v>5</v>
      </c>
      <c r="E30" s="34">
        <v>5</v>
      </c>
      <c r="F30" s="34">
        <v>5</v>
      </c>
      <c r="G30" s="34">
        <v>3</v>
      </c>
      <c r="H30" s="34">
        <v>5</v>
      </c>
      <c r="I30" s="35">
        <v>4</v>
      </c>
      <c r="J30" s="35">
        <v>2</v>
      </c>
      <c r="K30" s="35">
        <v>3</v>
      </c>
      <c r="L30" s="35">
        <v>4</v>
      </c>
      <c r="M30" s="35">
        <v>5</v>
      </c>
      <c r="N30" s="35">
        <v>4</v>
      </c>
      <c r="O30" s="36">
        <v>10</v>
      </c>
      <c r="P30" s="36">
        <v>10</v>
      </c>
      <c r="Q30" s="36">
        <v>10</v>
      </c>
      <c r="R30" s="36">
        <v>10</v>
      </c>
      <c r="S30" s="36">
        <v>10</v>
      </c>
      <c r="T30" s="36">
        <v>10</v>
      </c>
      <c r="U30" s="36">
        <v>10</v>
      </c>
      <c r="V30" s="36">
        <v>10</v>
      </c>
      <c r="W30" s="36">
        <v>10</v>
      </c>
      <c r="X30" s="36">
        <v>10</v>
      </c>
      <c r="Y30" s="38">
        <f t="shared" si="0"/>
        <v>4.666666666666667</v>
      </c>
      <c r="Z30" s="38">
        <f t="shared" si="1"/>
        <v>3.6666666666666665</v>
      </c>
      <c r="AA30" s="38">
        <f t="shared" si="2"/>
        <v>10</v>
      </c>
      <c r="AJ30" s="28" t="s">
        <v>127</v>
      </c>
      <c r="AK30" s="14" t="s">
        <v>128</v>
      </c>
      <c r="AL30" s="15" t="s">
        <v>129</v>
      </c>
    </row>
    <row r="31" spans="1:38" ht="19.95" customHeight="1" x14ac:dyDescent="0.25">
      <c r="A31" s="42">
        <v>46110.86930583333</v>
      </c>
      <c r="B31" s="43" t="s">
        <v>130</v>
      </c>
      <c r="C31" s="34">
        <v>3</v>
      </c>
      <c r="D31" s="34">
        <v>4</v>
      </c>
      <c r="E31" s="34">
        <v>5</v>
      </c>
      <c r="F31" s="34">
        <v>5</v>
      </c>
      <c r="G31" s="34">
        <v>5</v>
      </c>
      <c r="H31" s="34">
        <v>5</v>
      </c>
      <c r="I31" s="35">
        <v>5</v>
      </c>
      <c r="J31" s="35">
        <v>3</v>
      </c>
      <c r="K31" s="35">
        <v>4</v>
      </c>
      <c r="L31" s="35">
        <v>5</v>
      </c>
      <c r="M31" s="35">
        <v>3</v>
      </c>
      <c r="N31" s="35">
        <v>4</v>
      </c>
      <c r="O31" s="36">
        <v>9</v>
      </c>
      <c r="P31" s="36">
        <v>5</v>
      </c>
      <c r="Q31" s="36">
        <v>10</v>
      </c>
      <c r="R31" s="36">
        <v>6</v>
      </c>
      <c r="S31" s="36">
        <v>5</v>
      </c>
      <c r="T31" s="36">
        <v>10</v>
      </c>
      <c r="U31" s="36">
        <v>8</v>
      </c>
      <c r="V31" s="36">
        <v>10</v>
      </c>
      <c r="W31" s="36">
        <v>10</v>
      </c>
      <c r="X31" s="36">
        <v>7</v>
      </c>
      <c r="Y31" s="38">
        <f t="shared" si="0"/>
        <v>4.5</v>
      </c>
      <c r="Z31" s="38">
        <f t="shared" si="1"/>
        <v>4</v>
      </c>
      <c r="AA31" s="38">
        <f t="shared" si="2"/>
        <v>8</v>
      </c>
      <c r="AJ31" s="29" t="s">
        <v>131</v>
      </c>
      <c r="AK31" s="16" t="s">
        <v>132</v>
      </c>
      <c r="AL31" s="17" t="s">
        <v>133</v>
      </c>
    </row>
    <row r="32" spans="1:38" ht="19.95" customHeight="1" x14ac:dyDescent="0.25">
      <c r="A32" s="42">
        <v>46110.895199375002</v>
      </c>
      <c r="B32" s="43" t="s">
        <v>134</v>
      </c>
      <c r="C32" s="34">
        <v>2</v>
      </c>
      <c r="D32" s="34">
        <v>5</v>
      </c>
      <c r="E32" s="34">
        <v>5</v>
      </c>
      <c r="F32" s="34">
        <v>4</v>
      </c>
      <c r="G32" s="34">
        <v>2</v>
      </c>
      <c r="H32" s="34">
        <v>5</v>
      </c>
      <c r="I32" s="35">
        <v>5</v>
      </c>
      <c r="J32" s="35">
        <v>4</v>
      </c>
      <c r="K32" s="35">
        <v>5</v>
      </c>
      <c r="L32" s="35">
        <v>4</v>
      </c>
      <c r="M32" s="35">
        <v>3</v>
      </c>
      <c r="N32" s="35">
        <v>4</v>
      </c>
      <c r="O32" s="36">
        <v>6</v>
      </c>
      <c r="P32" s="36">
        <v>8</v>
      </c>
      <c r="Q32" s="36">
        <v>8</v>
      </c>
      <c r="R32" s="36">
        <v>8</v>
      </c>
      <c r="S32" s="36">
        <v>5</v>
      </c>
      <c r="T32" s="36">
        <v>4</v>
      </c>
      <c r="U32" s="36">
        <v>8</v>
      </c>
      <c r="V32" s="36">
        <v>6</v>
      </c>
      <c r="W32" s="36">
        <v>7</v>
      </c>
      <c r="X32" s="36">
        <v>6</v>
      </c>
      <c r="Y32" s="38">
        <f t="shared" si="0"/>
        <v>3.8333333333333335</v>
      </c>
      <c r="Z32" s="38">
        <f t="shared" si="1"/>
        <v>4.166666666666667</v>
      </c>
      <c r="AA32" s="38">
        <f t="shared" si="2"/>
        <v>6.6</v>
      </c>
      <c r="AJ32" s="28" t="s">
        <v>135</v>
      </c>
      <c r="AK32" s="14" t="s">
        <v>136</v>
      </c>
      <c r="AL32" s="15" t="s">
        <v>137</v>
      </c>
    </row>
    <row r="33" spans="1:38" ht="19.95" customHeight="1" x14ac:dyDescent="0.25">
      <c r="A33" s="42">
        <v>46110.899493321762</v>
      </c>
      <c r="B33" s="43" t="s">
        <v>175</v>
      </c>
      <c r="C33" s="34">
        <v>1</v>
      </c>
      <c r="D33" s="34">
        <v>5</v>
      </c>
      <c r="E33" s="34">
        <v>4</v>
      </c>
      <c r="F33" s="34">
        <v>3</v>
      </c>
      <c r="G33" s="34">
        <v>3</v>
      </c>
      <c r="H33" s="34">
        <v>5</v>
      </c>
      <c r="I33" s="35">
        <v>5</v>
      </c>
      <c r="J33" s="35">
        <v>5</v>
      </c>
      <c r="K33" s="35">
        <v>5</v>
      </c>
      <c r="L33" s="35">
        <v>5</v>
      </c>
      <c r="M33" s="35">
        <v>3</v>
      </c>
      <c r="N33" s="35">
        <v>5</v>
      </c>
      <c r="O33" s="36">
        <v>10</v>
      </c>
      <c r="P33" s="36">
        <v>8</v>
      </c>
      <c r="Q33" s="36">
        <v>8</v>
      </c>
      <c r="R33" s="36">
        <v>7</v>
      </c>
      <c r="S33" s="36">
        <v>6</v>
      </c>
      <c r="T33" s="36">
        <v>4</v>
      </c>
      <c r="U33" s="36">
        <v>8</v>
      </c>
      <c r="V33" s="36">
        <v>6</v>
      </c>
      <c r="W33" s="36">
        <v>6</v>
      </c>
      <c r="X33" s="36">
        <v>5</v>
      </c>
      <c r="Y33" s="38">
        <f t="shared" si="0"/>
        <v>3.5</v>
      </c>
      <c r="Z33" s="38">
        <f t="shared" si="1"/>
        <v>4.666666666666667</v>
      </c>
      <c r="AA33" s="38">
        <f t="shared" si="2"/>
        <v>6.8</v>
      </c>
      <c r="AJ33" s="29" t="s">
        <v>138</v>
      </c>
      <c r="AK33" s="16" t="s">
        <v>139</v>
      </c>
      <c r="AL33" s="17" t="s">
        <v>137</v>
      </c>
    </row>
    <row r="34" spans="1:38" ht="19.95" customHeight="1" x14ac:dyDescent="0.25">
      <c r="A34" s="42">
        <v>46110.933330648149</v>
      </c>
      <c r="B34" s="43" t="s">
        <v>140</v>
      </c>
      <c r="C34" s="34">
        <v>5</v>
      </c>
      <c r="D34" s="34">
        <v>3</v>
      </c>
      <c r="E34" s="34">
        <v>5</v>
      </c>
      <c r="F34" s="34">
        <v>5</v>
      </c>
      <c r="G34" s="34">
        <v>5</v>
      </c>
      <c r="H34" s="34">
        <v>5</v>
      </c>
      <c r="I34" s="35">
        <v>5</v>
      </c>
      <c r="J34" s="35">
        <v>5</v>
      </c>
      <c r="K34" s="35">
        <v>5</v>
      </c>
      <c r="L34" s="35">
        <v>5</v>
      </c>
      <c r="M34" s="35">
        <v>5</v>
      </c>
      <c r="N34" s="35">
        <v>3</v>
      </c>
      <c r="O34" s="36">
        <v>8</v>
      </c>
      <c r="P34" s="36">
        <v>10</v>
      </c>
      <c r="Q34" s="36">
        <v>10</v>
      </c>
      <c r="R34" s="36">
        <v>10</v>
      </c>
      <c r="S34" s="36">
        <v>10</v>
      </c>
      <c r="T34" s="36">
        <v>10</v>
      </c>
      <c r="U34" s="36">
        <v>10</v>
      </c>
      <c r="V34" s="36">
        <v>10</v>
      </c>
      <c r="W34" s="36">
        <v>10</v>
      </c>
      <c r="X34" s="36">
        <v>10</v>
      </c>
      <c r="Y34" s="38">
        <f t="shared" si="0"/>
        <v>4.666666666666667</v>
      </c>
      <c r="Z34" s="38">
        <f t="shared" si="1"/>
        <v>4.666666666666667</v>
      </c>
      <c r="AA34" s="38">
        <f t="shared" si="2"/>
        <v>9.8000000000000007</v>
      </c>
      <c r="AJ34" s="28" t="s">
        <v>141</v>
      </c>
      <c r="AK34" s="14" t="s">
        <v>142</v>
      </c>
      <c r="AL34" s="15" t="s">
        <v>143</v>
      </c>
    </row>
    <row r="35" spans="1:38" ht="19.95" customHeight="1" x14ac:dyDescent="0.25">
      <c r="A35" s="42">
        <v>46110.934801759257</v>
      </c>
      <c r="B35" s="43" t="s">
        <v>144</v>
      </c>
      <c r="C35" s="34">
        <v>3</v>
      </c>
      <c r="D35" s="34">
        <v>4</v>
      </c>
      <c r="E35" s="34">
        <v>5</v>
      </c>
      <c r="F35" s="34">
        <v>5</v>
      </c>
      <c r="G35" s="34">
        <v>5</v>
      </c>
      <c r="H35" s="34">
        <v>5</v>
      </c>
      <c r="I35" s="35">
        <v>5</v>
      </c>
      <c r="J35" s="35">
        <v>2</v>
      </c>
      <c r="K35" s="35">
        <v>4</v>
      </c>
      <c r="L35" s="35">
        <v>4</v>
      </c>
      <c r="M35" s="35">
        <v>3</v>
      </c>
      <c r="N35" s="35">
        <v>3</v>
      </c>
      <c r="O35" s="36">
        <v>5</v>
      </c>
      <c r="P35" s="36">
        <v>5</v>
      </c>
      <c r="Q35" s="36">
        <v>7</v>
      </c>
      <c r="R35" s="36">
        <v>2</v>
      </c>
      <c r="S35" s="36">
        <v>2</v>
      </c>
      <c r="T35" s="36">
        <v>1</v>
      </c>
      <c r="U35" s="36">
        <v>5</v>
      </c>
      <c r="V35" s="36">
        <v>4</v>
      </c>
      <c r="W35" s="36">
        <v>4</v>
      </c>
      <c r="X35" s="36">
        <v>1</v>
      </c>
      <c r="Y35" s="38">
        <f t="shared" si="0"/>
        <v>4.5</v>
      </c>
      <c r="Z35" s="38">
        <f t="shared" si="1"/>
        <v>3.5</v>
      </c>
      <c r="AA35" s="38">
        <f t="shared" si="2"/>
        <v>3.6</v>
      </c>
      <c r="AJ35" s="29" t="s">
        <v>145</v>
      </c>
      <c r="AK35" s="16" t="s">
        <v>146</v>
      </c>
      <c r="AL35" s="17" t="s">
        <v>147</v>
      </c>
    </row>
    <row r="36" spans="1:38" ht="19.95" customHeight="1" x14ac:dyDescent="0.25">
      <c r="A36" s="42">
        <v>46110.935734861108</v>
      </c>
      <c r="B36" s="43" t="s">
        <v>148</v>
      </c>
      <c r="C36" s="34">
        <v>5</v>
      </c>
      <c r="D36" s="34">
        <v>5</v>
      </c>
      <c r="E36" s="34">
        <v>5</v>
      </c>
      <c r="F36" s="34">
        <v>5</v>
      </c>
      <c r="G36" s="34">
        <v>3</v>
      </c>
      <c r="H36" s="34">
        <v>5</v>
      </c>
      <c r="I36" s="35">
        <v>5</v>
      </c>
      <c r="J36" s="35">
        <v>5</v>
      </c>
      <c r="K36" s="35">
        <v>5</v>
      </c>
      <c r="L36" s="35">
        <v>5</v>
      </c>
      <c r="M36" s="35">
        <v>3</v>
      </c>
      <c r="N36" s="35">
        <v>5</v>
      </c>
      <c r="O36" s="36">
        <v>10</v>
      </c>
      <c r="P36" s="36">
        <v>10</v>
      </c>
      <c r="Q36" s="36">
        <v>10</v>
      </c>
      <c r="R36" s="36">
        <v>10</v>
      </c>
      <c r="S36" s="36">
        <v>10</v>
      </c>
      <c r="T36" s="36">
        <v>10</v>
      </c>
      <c r="U36" s="36">
        <v>10</v>
      </c>
      <c r="V36" s="36">
        <v>10</v>
      </c>
      <c r="W36" s="36">
        <v>10</v>
      </c>
      <c r="X36" s="36">
        <v>10</v>
      </c>
      <c r="Y36" s="38">
        <f t="shared" si="0"/>
        <v>4.666666666666667</v>
      </c>
      <c r="Z36" s="38">
        <f t="shared" si="1"/>
        <v>4.666666666666667</v>
      </c>
      <c r="AA36" s="38">
        <f t="shared" si="2"/>
        <v>10</v>
      </c>
      <c r="AJ36" s="28" t="s">
        <v>149</v>
      </c>
      <c r="AK36" s="14" t="s">
        <v>150</v>
      </c>
      <c r="AL36" s="15" t="s">
        <v>151</v>
      </c>
    </row>
    <row r="37" spans="1:38" ht="19.95" customHeight="1" x14ac:dyDescent="0.25">
      <c r="A37" s="42">
        <v>46111.035884398152</v>
      </c>
      <c r="B37" s="43" t="s">
        <v>152</v>
      </c>
      <c r="C37" s="34">
        <v>5</v>
      </c>
      <c r="D37" s="34">
        <v>5</v>
      </c>
      <c r="E37" s="34">
        <v>5</v>
      </c>
      <c r="F37" s="34">
        <v>5</v>
      </c>
      <c r="G37" s="34">
        <v>5</v>
      </c>
      <c r="H37" s="34">
        <v>5</v>
      </c>
      <c r="I37" s="35">
        <v>5</v>
      </c>
      <c r="J37" s="35">
        <v>5</v>
      </c>
      <c r="K37" s="35">
        <v>5</v>
      </c>
      <c r="L37" s="35">
        <v>5</v>
      </c>
      <c r="M37" s="35">
        <v>5</v>
      </c>
      <c r="N37" s="35">
        <v>5</v>
      </c>
      <c r="O37" s="36">
        <v>10</v>
      </c>
      <c r="P37" s="36">
        <v>9</v>
      </c>
      <c r="Q37" s="36">
        <v>10</v>
      </c>
      <c r="R37" s="46">
        <v>9</v>
      </c>
      <c r="S37" s="36">
        <v>10</v>
      </c>
      <c r="T37" s="36">
        <v>10</v>
      </c>
      <c r="U37" s="36">
        <v>10</v>
      </c>
      <c r="V37" s="36">
        <v>9</v>
      </c>
      <c r="W37" s="36">
        <v>10</v>
      </c>
      <c r="X37" s="36">
        <v>10</v>
      </c>
      <c r="Y37" s="38">
        <f t="shared" si="0"/>
        <v>5</v>
      </c>
      <c r="Z37" s="38">
        <f t="shared" si="1"/>
        <v>5</v>
      </c>
      <c r="AA37" s="38">
        <f t="shared" si="2"/>
        <v>9.6999999999999993</v>
      </c>
      <c r="AJ37" s="32" t="s">
        <v>153</v>
      </c>
      <c r="AK37" s="18" t="s">
        <v>154</v>
      </c>
      <c r="AL37" s="19" t="s">
        <v>155</v>
      </c>
    </row>
    <row r="50" spans="4:6" ht="15.75" customHeight="1" x14ac:dyDescent="0.25">
      <c r="D50" s="48"/>
      <c r="E50" s="48"/>
      <c r="F50" s="4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5F4D0-6935-44DB-A37B-F17F74E9E81D}">
  <dimension ref="C1:W38"/>
  <sheetViews>
    <sheetView topLeftCell="H1" workbookViewId="0">
      <selection activeCell="V15" sqref="V15"/>
    </sheetView>
  </sheetViews>
  <sheetFormatPr defaultRowHeight="13.2" x14ac:dyDescent="0.25"/>
  <cols>
    <col min="13" max="13" width="18.33203125" customWidth="1"/>
    <col min="15" max="15" width="9.109375" customWidth="1"/>
    <col min="17" max="17" width="18.33203125" customWidth="1"/>
    <col min="21" max="21" width="18.33203125" customWidth="1"/>
  </cols>
  <sheetData>
    <row r="1" spans="3:23" x14ac:dyDescent="0.25">
      <c r="C1" s="50" t="s">
        <v>160</v>
      </c>
      <c r="D1" s="50"/>
      <c r="E1" s="50"/>
      <c r="F1" s="24"/>
      <c r="G1" s="24"/>
      <c r="H1" s="50" t="s">
        <v>161</v>
      </c>
      <c r="I1" s="50"/>
      <c r="J1" s="50"/>
    </row>
    <row r="2" spans="3:23" x14ac:dyDescent="0.25">
      <c r="C2" s="24" t="s">
        <v>157</v>
      </c>
      <c r="D2" s="24" t="s">
        <v>158</v>
      </c>
      <c r="E2" s="24" t="s">
        <v>159</v>
      </c>
      <c r="F2" s="24"/>
      <c r="G2" s="24"/>
      <c r="H2" s="24" t="s">
        <v>157</v>
      </c>
      <c r="I2" s="24" t="s">
        <v>158</v>
      </c>
      <c r="J2" s="24" t="s">
        <v>159</v>
      </c>
    </row>
    <row r="3" spans="3:23" x14ac:dyDescent="0.25">
      <c r="C3">
        <v>2.6666666666666665</v>
      </c>
      <c r="D3">
        <v>3.5</v>
      </c>
      <c r="E3">
        <v>3.9</v>
      </c>
      <c r="H3">
        <v>3.5</v>
      </c>
      <c r="I3">
        <v>3.8333333333333335</v>
      </c>
      <c r="J3">
        <v>8.1</v>
      </c>
      <c r="M3" t="s">
        <v>162</v>
      </c>
      <c r="Q3" t="s">
        <v>162</v>
      </c>
      <c r="U3" t="s">
        <v>162</v>
      </c>
    </row>
    <row r="4" spans="3:23" ht="13.8" thickBot="1" x14ac:dyDescent="0.3">
      <c r="C4">
        <v>1.8333333333333333</v>
      </c>
      <c r="D4">
        <v>2</v>
      </c>
      <c r="E4">
        <v>3.6</v>
      </c>
      <c r="H4">
        <v>4</v>
      </c>
      <c r="I4">
        <v>3.8333333333333335</v>
      </c>
      <c r="J4">
        <v>9.5</v>
      </c>
    </row>
    <row r="5" spans="3:23" x14ac:dyDescent="0.25">
      <c r="C5">
        <v>1.8333333333333333</v>
      </c>
      <c r="D5">
        <v>2.1666666666666665</v>
      </c>
      <c r="E5">
        <v>4.2</v>
      </c>
      <c r="H5">
        <v>4</v>
      </c>
      <c r="I5">
        <v>3.8333333333333335</v>
      </c>
      <c r="J5">
        <v>7.4</v>
      </c>
      <c r="M5" s="26"/>
      <c r="N5" s="26" t="s">
        <v>157</v>
      </c>
      <c r="O5" s="26" t="s">
        <v>157</v>
      </c>
      <c r="Q5" s="26"/>
      <c r="R5" s="26" t="s">
        <v>158</v>
      </c>
      <c r="S5" s="26" t="s">
        <v>158</v>
      </c>
      <c r="U5" s="26"/>
      <c r="V5" s="26" t="s">
        <v>159</v>
      </c>
      <c r="W5" s="26" t="s">
        <v>159</v>
      </c>
    </row>
    <row r="6" spans="3:23" x14ac:dyDescent="0.25">
      <c r="C6">
        <v>2</v>
      </c>
      <c r="D6">
        <v>2.1666666666666665</v>
      </c>
      <c r="E6">
        <v>3.7</v>
      </c>
      <c r="H6">
        <v>4.666666666666667</v>
      </c>
      <c r="I6">
        <v>4.666666666666667</v>
      </c>
      <c r="J6">
        <v>9.9</v>
      </c>
      <c r="M6" t="s">
        <v>156</v>
      </c>
      <c r="N6">
        <v>2.157407407407407</v>
      </c>
      <c r="O6">
        <v>4.0740740740740735</v>
      </c>
      <c r="P6" s="2"/>
      <c r="Q6" t="s">
        <v>156</v>
      </c>
      <c r="R6">
        <v>2.3611111111111116</v>
      </c>
      <c r="S6">
        <v>4.0694444444444446</v>
      </c>
      <c r="T6" s="2"/>
      <c r="U6" t="s">
        <v>156</v>
      </c>
      <c r="V6">
        <v>4.1305555555555564</v>
      </c>
      <c r="W6">
        <v>8.5527777777777807</v>
      </c>
    </row>
    <row r="7" spans="3:23" x14ac:dyDescent="0.25">
      <c r="C7">
        <v>2.1666666666666665</v>
      </c>
      <c r="D7">
        <v>2.5</v>
      </c>
      <c r="E7">
        <v>4.0999999999999996</v>
      </c>
      <c r="H7">
        <v>4.166666666666667</v>
      </c>
      <c r="I7">
        <v>4.333333333333333</v>
      </c>
      <c r="J7">
        <v>9.5</v>
      </c>
      <c r="M7" t="s">
        <v>163</v>
      </c>
      <c r="N7">
        <v>0.21102292768959582</v>
      </c>
      <c r="O7">
        <v>1.0372134038800727</v>
      </c>
      <c r="P7" s="27"/>
      <c r="Q7" t="s">
        <v>163</v>
      </c>
      <c r="R7">
        <v>0.19603174603174531</v>
      </c>
      <c r="S7">
        <v>0.83551587301587915</v>
      </c>
      <c r="T7" s="27"/>
      <c r="U7" t="s">
        <v>163</v>
      </c>
      <c r="V7">
        <v>0.36561111111110939</v>
      </c>
      <c r="W7">
        <v>3.1345634920634309</v>
      </c>
    </row>
    <row r="8" spans="3:23" x14ac:dyDescent="0.25">
      <c r="C8">
        <v>1.8333333333333333</v>
      </c>
      <c r="D8">
        <v>1.8333333333333333</v>
      </c>
      <c r="E8">
        <v>4.2</v>
      </c>
      <c r="H8">
        <v>1.5</v>
      </c>
      <c r="I8">
        <v>1.3333333333333333</v>
      </c>
      <c r="J8">
        <v>9.9</v>
      </c>
      <c r="M8" t="s">
        <v>164</v>
      </c>
      <c r="N8">
        <v>36</v>
      </c>
      <c r="O8">
        <v>36</v>
      </c>
      <c r="Q8" t="s">
        <v>164</v>
      </c>
      <c r="R8">
        <v>36</v>
      </c>
      <c r="S8">
        <v>36</v>
      </c>
      <c r="U8" t="s">
        <v>164</v>
      </c>
      <c r="V8">
        <v>36</v>
      </c>
      <c r="W8">
        <v>36</v>
      </c>
    </row>
    <row r="9" spans="3:23" x14ac:dyDescent="0.25">
      <c r="C9">
        <v>3.5</v>
      </c>
      <c r="D9">
        <v>3.6666666666666665</v>
      </c>
      <c r="E9">
        <v>5.4</v>
      </c>
      <c r="H9">
        <v>4.666666666666667</v>
      </c>
      <c r="I9">
        <v>4.666666666666667</v>
      </c>
      <c r="J9">
        <v>10</v>
      </c>
      <c r="M9" t="s">
        <v>165</v>
      </c>
      <c r="N9">
        <v>0.19659495625350126</v>
      </c>
      <c r="Q9" t="s">
        <v>165</v>
      </c>
      <c r="R9">
        <v>0.33632025427972162</v>
      </c>
      <c r="U9" t="s">
        <v>165</v>
      </c>
      <c r="V9">
        <v>0.17700054628127573</v>
      </c>
    </row>
    <row r="10" spans="3:23" x14ac:dyDescent="0.25">
      <c r="C10">
        <v>2.3333333333333335</v>
      </c>
      <c r="D10">
        <v>2.8333333333333335</v>
      </c>
      <c r="E10">
        <v>4</v>
      </c>
      <c r="H10">
        <v>4.5</v>
      </c>
      <c r="I10">
        <v>4.333333333333333</v>
      </c>
      <c r="J10">
        <v>9.9</v>
      </c>
      <c r="M10" t="s">
        <v>166</v>
      </c>
      <c r="N10">
        <v>0</v>
      </c>
      <c r="Q10" t="s">
        <v>166</v>
      </c>
      <c r="R10">
        <v>0</v>
      </c>
      <c r="U10" t="s">
        <v>166</v>
      </c>
      <c r="V10">
        <v>0</v>
      </c>
    </row>
    <row r="11" spans="3:23" x14ac:dyDescent="0.25">
      <c r="C11">
        <v>2.3333333333333335</v>
      </c>
      <c r="D11">
        <v>2.8333333333333335</v>
      </c>
      <c r="E11">
        <v>4.7</v>
      </c>
      <c r="H11">
        <v>5</v>
      </c>
      <c r="I11">
        <v>5</v>
      </c>
      <c r="J11">
        <v>10</v>
      </c>
      <c r="M11" t="s">
        <v>167</v>
      </c>
      <c r="N11">
        <v>35</v>
      </c>
      <c r="Q11" t="s">
        <v>167</v>
      </c>
      <c r="R11">
        <v>35</v>
      </c>
      <c r="U11" t="s">
        <v>167</v>
      </c>
      <c r="V11">
        <v>35</v>
      </c>
    </row>
    <row r="12" spans="3:23" x14ac:dyDescent="0.25">
      <c r="C12">
        <v>2.5</v>
      </c>
      <c r="D12">
        <v>2.5</v>
      </c>
      <c r="E12">
        <v>6</v>
      </c>
      <c r="H12">
        <v>4.666666666666667</v>
      </c>
      <c r="I12">
        <v>4.833333333333333</v>
      </c>
      <c r="J12">
        <v>9</v>
      </c>
      <c r="M12" t="s">
        <v>168</v>
      </c>
      <c r="N12">
        <v>-11.147275226100904</v>
      </c>
      <c r="Q12" t="s">
        <v>168</v>
      </c>
      <c r="R12">
        <v>-11.762778051057621</v>
      </c>
      <c r="U12" t="s">
        <v>168</v>
      </c>
      <c r="V12">
        <v>-15.018638785675336</v>
      </c>
    </row>
    <row r="13" spans="3:23" x14ac:dyDescent="0.25">
      <c r="C13">
        <v>2.1666666666666665</v>
      </c>
      <c r="D13">
        <v>2.3333333333333335</v>
      </c>
      <c r="E13">
        <v>4.4000000000000004</v>
      </c>
      <c r="H13">
        <v>5</v>
      </c>
      <c r="I13">
        <v>5</v>
      </c>
      <c r="J13">
        <v>10</v>
      </c>
      <c r="M13" t="s">
        <v>169</v>
      </c>
      <c r="N13">
        <v>2.2943121430085616E-13</v>
      </c>
      <c r="Q13" t="s">
        <v>169</v>
      </c>
      <c r="R13">
        <v>5.1436989948334873E-14</v>
      </c>
      <c r="U13" t="s">
        <v>169</v>
      </c>
      <c r="V13">
        <v>3.9638116729468273E-17</v>
      </c>
    </row>
    <row r="14" spans="3:23" x14ac:dyDescent="0.25">
      <c r="C14">
        <v>2.6666666666666665</v>
      </c>
      <c r="D14">
        <v>2.5</v>
      </c>
      <c r="E14">
        <v>3.9</v>
      </c>
      <c r="H14">
        <v>4</v>
      </c>
      <c r="I14">
        <v>5</v>
      </c>
      <c r="J14">
        <v>10</v>
      </c>
      <c r="M14" t="s">
        <v>170</v>
      </c>
      <c r="N14">
        <v>1.6895724577802647</v>
      </c>
      <c r="Q14" t="s">
        <v>170</v>
      </c>
      <c r="R14">
        <v>1.6895724577802647</v>
      </c>
      <c r="U14" t="s">
        <v>170</v>
      </c>
      <c r="V14">
        <v>1.6895724577802647</v>
      </c>
    </row>
    <row r="15" spans="3:23" x14ac:dyDescent="0.25">
      <c r="C15">
        <v>2.3333333333333335</v>
      </c>
      <c r="D15">
        <v>2.3333333333333335</v>
      </c>
      <c r="E15">
        <v>3.6</v>
      </c>
      <c r="H15">
        <v>4.833333333333333</v>
      </c>
      <c r="I15">
        <v>5</v>
      </c>
      <c r="J15">
        <v>9.9</v>
      </c>
      <c r="M15" t="s">
        <v>171</v>
      </c>
      <c r="N15">
        <v>4.5886242860171232E-13</v>
      </c>
      <c r="P15" s="1"/>
      <c r="Q15" t="s">
        <v>171</v>
      </c>
      <c r="R15">
        <v>1.0287397989666975E-13</v>
      </c>
      <c r="T15" s="1"/>
      <c r="U15" t="s">
        <v>171</v>
      </c>
      <c r="V15">
        <v>7.9276233458936547E-17</v>
      </c>
    </row>
    <row r="16" spans="3:23" ht="13.8" thickBot="1" x14ac:dyDescent="0.3">
      <c r="C16">
        <v>2.1666666666666665</v>
      </c>
      <c r="D16">
        <v>2.6666666666666665</v>
      </c>
      <c r="E16">
        <v>3.7</v>
      </c>
      <c r="H16">
        <v>4.833333333333333</v>
      </c>
      <c r="I16">
        <v>3.8333333333333335</v>
      </c>
      <c r="J16">
        <v>7.7</v>
      </c>
      <c r="M16" s="25" t="s">
        <v>172</v>
      </c>
      <c r="N16" s="25">
        <v>2.0301079282503438</v>
      </c>
      <c r="O16" s="25"/>
      <c r="Q16" s="25" t="s">
        <v>172</v>
      </c>
      <c r="R16" s="25">
        <v>2.0301079282503438</v>
      </c>
      <c r="S16" s="25"/>
      <c r="U16" s="25" t="s">
        <v>172</v>
      </c>
      <c r="V16" s="25">
        <v>2.0301079282503438</v>
      </c>
      <c r="W16" s="25"/>
    </row>
    <row r="17" spans="3:23" x14ac:dyDescent="0.25">
      <c r="C17">
        <v>1.8333333333333333</v>
      </c>
      <c r="D17">
        <v>2.3333333333333335</v>
      </c>
      <c r="E17">
        <v>4.9000000000000004</v>
      </c>
      <c r="H17">
        <v>4.666666666666667</v>
      </c>
      <c r="I17">
        <v>4.166666666666667</v>
      </c>
      <c r="J17">
        <v>9.6</v>
      </c>
      <c r="N17">
        <f>SQRT(N7)</f>
        <v>0.4593723192461599</v>
      </c>
      <c r="O17">
        <f>SQRT(O7)</f>
        <v>1.0184367451540977</v>
      </c>
      <c r="R17">
        <f>SQRT(R7)</f>
        <v>0.44275472446010705</v>
      </c>
      <c r="S17">
        <f>SQRT(S7)</f>
        <v>0.91406557369582575</v>
      </c>
      <c r="V17">
        <f>SQRT(V7)</f>
        <v>0.6046578463156741</v>
      </c>
      <c r="W17">
        <f>SQRT(W7)</f>
        <v>1.7704698506507901</v>
      </c>
    </row>
    <row r="18" spans="3:23" x14ac:dyDescent="0.25">
      <c r="C18">
        <v>1.8333333333333333</v>
      </c>
      <c r="D18">
        <v>2.1666666666666665</v>
      </c>
      <c r="E18">
        <v>4</v>
      </c>
      <c r="H18">
        <v>2</v>
      </c>
      <c r="I18">
        <v>2.3333333333333335</v>
      </c>
      <c r="J18">
        <v>9.1999999999999993</v>
      </c>
    </row>
    <row r="19" spans="3:23" x14ac:dyDescent="0.25">
      <c r="C19">
        <v>2</v>
      </c>
      <c r="D19">
        <v>2.3333333333333335</v>
      </c>
      <c r="E19">
        <v>4.4000000000000004</v>
      </c>
      <c r="H19">
        <v>4.166666666666667</v>
      </c>
      <c r="I19">
        <v>4.166666666666667</v>
      </c>
      <c r="J19">
        <v>6.9</v>
      </c>
    </row>
    <row r="20" spans="3:23" x14ac:dyDescent="0.25">
      <c r="C20">
        <v>1.6666666666666667</v>
      </c>
      <c r="D20">
        <v>2.1666666666666665</v>
      </c>
      <c r="E20">
        <v>4.5</v>
      </c>
      <c r="H20">
        <v>4</v>
      </c>
      <c r="I20">
        <v>4.166666666666667</v>
      </c>
      <c r="J20">
        <v>6.1</v>
      </c>
    </row>
    <row r="21" spans="3:23" x14ac:dyDescent="0.25">
      <c r="C21">
        <v>1.8333333333333333</v>
      </c>
      <c r="D21">
        <v>2.1666666666666665</v>
      </c>
      <c r="E21">
        <v>4.7</v>
      </c>
      <c r="H21">
        <v>5</v>
      </c>
      <c r="I21">
        <v>5</v>
      </c>
      <c r="J21">
        <v>10</v>
      </c>
    </row>
    <row r="22" spans="3:23" x14ac:dyDescent="0.25">
      <c r="C22">
        <v>1.6666666666666667</v>
      </c>
      <c r="D22">
        <v>1.8333333333333333</v>
      </c>
      <c r="E22">
        <v>4</v>
      </c>
      <c r="H22">
        <v>5</v>
      </c>
      <c r="I22">
        <v>4.166666666666667</v>
      </c>
      <c r="J22">
        <v>4.8</v>
      </c>
    </row>
    <row r="23" spans="3:23" x14ac:dyDescent="0.25">
      <c r="C23">
        <v>2.1666666666666665</v>
      </c>
      <c r="D23">
        <v>2.8333333333333335</v>
      </c>
      <c r="E23">
        <v>4.7</v>
      </c>
      <c r="H23">
        <v>4.166666666666667</v>
      </c>
      <c r="I23">
        <v>4.5</v>
      </c>
      <c r="J23">
        <v>9.3000000000000007</v>
      </c>
    </row>
    <row r="24" spans="3:23" x14ac:dyDescent="0.25">
      <c r="C24">
        <v>2.5</v>
      </c>
      <c r="D24">
        <v>2</v>
      </c>
      <c r="E24">
        <v>4.4000000000000004</v>
      </c>
      <c r="H24">
        <v>2.8333333333333335</v>
      </c>
      <c r="I24">
        <v>3.8333333333333335</v>
      </c>
      <c r="J24">
        <v>4.8</v>
      </c>
    </row>
    <row r="25" spans="3:23" x14ac:dyDescent="0.25">
      <c r="C25">
        <v>1.6666666666666667</v>
      </c>
      <c r="D25">
        <v>2.8333333333333335</v>
      </c>
      <c r="E25">
        <v>3.6</v>
      </c>
      <c r="H25">
        <v>3.6666666666666665</v>
      </c>
      <c r="I25">
        <v>3.6666666666666665</v>
      </c>
      <c r="J25">
        <v>8.1999999999999993</v>
      </c>
    </row>
    <row r="26" spans="3:23" x14ac:dyDescent="0.25">
      <c r="C26">
        <v>1.6666666666666667</v>
      </c>
      <c r="D26">
        <v>2.3333333333333335</v>
      </c>
      <c r="E26">
        <v>3.3</v>
      </c>
      <c r="H26">
        <v>4.333333333333333</v>
      </c>
      <c r="I26">
        <v>4.333333333333333</v>
      </c>
      <c r="J26">
        <v>8.1</v>
      </c>
    </row>
    <row r="27" spans="3:23" x14ac:dyDescent="0.25">
      <c r="C27">
        <v>1.5</v>
      </c>
      <c r="D27">
        <v>2</v>
      </c>
      <c r="E27">
        <v>4.9000000000000004</v>
      </c>
      <c r="H27">
        <v>1</v>
      </c>
      <c r="I27">
        <v>1</v>
      </c>
      <c r="J27">
        <v>10</v>
      </c>
    </row>
    <row r="28" spans="3:23" x14ac:dyDescent="0.25">
      <c r="C28">
        <v>2.1666666666666665</v>
      </c>
      <c r="D28">
        <v>2.5</v>
      </c>
      <c r="E28">
        <v>4.0999999999999996</v>
      </c>
      <c r="H28">
        <v>4.333333333333333</v>
      </c>
      <c r="I28">
        <v>3.8333333333333335</v>
      </c>
      <c r="J28">
        <v>6.3</v>
      </c>
    </row>
    <row r="29" spans="3:23" x14ac:dyDescent="0.25">
      <c r="C29">
        <v>2.5</v>
      </c>
      <c r="D29">
        <v>1.6666666666666667</v>
      </c>
      <c r="E29">
        <v>3.1</v>
      </c>
      <c r="H29">
        <v>2</v>
      </c>
      <c r="I29">
        <v>3.5</v>
      </c>
      <c r="J29">
        <v>9.5</v>
      </c>
    </row>
    <row r="30" spans="3:23" x14ac:dyDescent="0.25">
      <c r="C30">
        <v>1.5</v>
      </c>
      <c r="D30">
        <v>1.8333333333333333</v>
      </c>
      <c r="E30">
        <v>3.6</v>
      </c>
      <c r="H30">
        <v>4.833333333333333</v>
      </c>
      <c r="I30">
        <v>4</v>
      </c>
      <c r="J30">
        <v>9.8000000000000007</v>
      </c>
    </row>
    <row r="31" spans="3:23" x14ac:dyDescent="0.25">
      <c r="C31">
        <v>2.3333333333333335</v>
      </c>
      <c r="D31">
        <v>2.3333333333333335</v>
      </c>
      <c r="E31">
        <v>3.9</v>
      </c>
      <c r="H31">
        <v>4.666666666666667</v>
      </c>
      <c r="I31">
        <v>3.6666666666666665</v>
      </c>
      <c r="J31">
        <v>10</v>
      </c>
    </row>
    <row r="32" spans="3:23" x14ac:dyDescent="0.25">
      <c r="C32">
        <v>2.8333333333333335</v>
      </c>
      <c r="D32">
        <v>2.1666666666666665</v>
      </c>
      <c r="E32">
        <v>4.4000000000000004</v>
      </c>
      <c r="H32">
        <v>4.5</v>
      </c>
      <c r="I32">
        <v>4</v>
      </c>
      <c r="J32">
        <v>8</v>
      </c>
    </row>
    <row r="33" spans="3:10" x14ac:dyDescent="0.25">
      <c r="C33">
        <v>2.1666666666666665</v>
      </c>
      <c r="D33">
        <v>1.6666666666666667</v>
      </c>
      <c r="E33">
        <v>3.6</v>
      </c>
      <c r="H33">
        <v>3.8333333333333335</v>
      </c>
      <c r="I33">
        <v>4.166666666666667</v>
      </c>
      <c r="J33">
        <v>6.6</v>
      </c>
    </row>
    <row r="34" spans="3:10" x14ac:dyDescent="0.25">
      <c r="C34">
        <v>2</v>
      </c>
      <c r="D34">
        <v>2.5</v>
      </c>
      <c r="E34">
        <v>3.7</v>
      </c>
      <c r="H34">
        <v>3.5</v>
      </c>
      <c r="I34">
        <v>4.666666666666667</v>
      </c>
      <c r="J34">
        <v>6.8</v>
      </c>
    </row>
    <row r="35" spans="3:10" x14ac:dyDescent="0.25">
      <c r="C35">
        <v>1.5</v>
      </c>
      <c r="D35">
        <v>2</v>
      </c>
      <c r="E35">
        <v>4</v>
      </c>
      <c r="H35">
        <v>4.666666666666667</v>
      </c>
      <c r="I35">
        <v>4.666666666666667</v>
      </c>
      <c r="J35">
        <v>9.8000000000000007</v>
      </c>
    </row>
    <row r="36" spans="3:10" x14ac:dyDescent="0.25">
      <c r="C36">
        <v>2.8333333333333335</v>
      </c>
      <c r="D36">
        <v>2.1666666666666665</v>
      </c>
      <c r="E36">
        <v>3.4</v>
      </c>
      <c r="H36">
        <v>4.5</v>
      </c>
      <c r="I36">
        <v>3.5</v>
      </c>
      <c r="J36">
        <v>3.6</v>
      </c>
    </row>
    <row r="37" spans="3:10" x14ac:dyDescent="0.25">
      <c r="C37">
        <v>2.1666666666666665</v>
      </c>
      <c r="D37">
        <v>2.6666666666666665</v>
      </c>
      <c r="E37">
        <v>3.5</v>
      </c>
      <c r="H37">
        <v>4.666666666666667</v>
      </c>
      <c r="I37">
        <v>4.666666666666667</v>
      </c>
      <c r="J37">
        <v>10</v>
      </c>
    </row>
    <row r="38" spans="3:10" x14ac:dyDescent="0.25">
      <c r="C38">
        <v>3</v>
      </c>
      <c r="D38">
        <v>2.6666666666666665</v>
      </c>
      <c r="E38">
        <v>4.5999999999999996</v>
      </c>
      <c r="H38">
        <v>5</v>
      </c>
      <c r="I38">
        <v>5</v>
      </c>
      <c r="J38">
        <v>9.6999999999999993</v>
      </c>
    </row>
  </sheetData>
  <mergeCells count="2">
    <mergeCell ref="C1:E1"/>
    <mergeCell ref="H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TIỀN KIỂM</vt:lpstr>
      <vt:lpstr>HẬU KIỂM</vt:lpstr>
      <vt:lpstr>Phân tích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Quang  Loc</cp:lastModifiedBy>
  <dcterms:modified xsi:type="dcterms:W3CDTF">2026-04-08T14:34:58Z</dcterms:modified>
</cp:coreProperties>
</file>